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llus\Downloads\"/>
    </mc:Choice>
  </mc:AlternateContent>
  <xr:revisionPtr revIDLastSave="0" documentId="13_ncr:1_{8F832C28-31EF-4058-A866-1362E2990D99}" xr6:coauthVersionLast="47" xr6:coauthVersionMax="47" xr10:uidLastSave="{00000000-0000-0000-0000-000000000000}"/>
  <bookViews>
    <workbookView xWindow="-98" yWindow="-98" windowWidth="22695" windowHeight="13546" tabRatio="500" xr2:uid="{00000000-000D-0000-FFFF-FFFF00000000}"/>
  </bookViews>
  <sheets>
    <sheet name="README" sheetId="1" r:id="rId1"/>
    <sheet name="Leads" sheetId="2" r:id="rId2"/>
    <sheet name="Clients" sheetId="3" r:id="rId3"/>
    <sheet name="Proposal_History" sheetId="4" r:id="rId4"/>
    <sheet name="Konten_Kalender" sheetId="5" r:id="rId5"/>
    <sheet name="Ref_Jasa_Perencanaan" sheetId="6" r:id="rId6"/>
    <sheet name="Ref_Design_Build" sheetId="7" r:id="rId7"/>
    <sheet name="Ref_RAB_Konstruksi" sheetId="8" r:id="rId8"/>
    <sheet name="Ref_Status_Lead" sheetId="9" r:id="rId9"/>
    <sheet name="Ref_Pilihan" sheetId="10" r:id="rId10"/>
    <sheet name="Kalkulato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1" l="1"/>
  <c r="B23" i="11" s="1"/>
  <c r="B27" i="11" s="1"/>
  <c r="B20" i="11"/>
  <c r="B22" i="11" s="1"/>
  <c r="B26" i="11" s="1"/>
  <c r="B8" i="11"/>
  <c r="B9" i="11" s="1"/>
  <c r="B12" i="11" l="1"/>
  <c r="B13" i="11" s="1"/>
</calcChain>
</file>

<file path=xl/sharedStrings.xml><?xml version="1.0" encoding="utf-8"?>
<sst xmlns="http://schemas.openxmlformats.org/spreadsheetml/2006/main" count="745" uniqueCount="434">
  <si>
    <t>SUDUT RUANG ARSITEK — MASTER DATABASE</t>
  </si>
  <si>
    <t>File master untuk otomasi n8n · Designing Corners · Defining Spaces</t>
  </si>
  <si>
    <t>Versi 2.0 · Juni 2026</t>
  </si>
  <si>
    <t>PENTING (untuk n8n)</t>
  </si>
  <si>
    <t>Baca aturan ini sebelum menghubungkan ke n8n.</t>
  </si>
  <si>
    <t>Baris 1 = header</t>
  </si>
  <si>
    <t>Di SEMUA sheet data, baris pertama adalah nama kolom. Data mulai baris 2. Jangan menyisipkan baris judul di atas header.</t>
  </si>
  <si>
    <t>Append data</t>
  </si>
  <si>
    <t>Node n8n menambah baris MULAI dari baris 2 ke bawah pada sheet: Leads, Clients, Proposal_History, Konten_Kalender.</t>
  </si>
  <si>
    <t>Nama kolom = key</t>
  </si>
  <si>
    <t>Gunakan nama header (huruf kecil, pakai underscore) sebagai key mapping di n8n. Jangan ubah nama header.</t>
  </si>
  <si>
    <t>Nomor HP = TEKS</t>
  </si>
  <si>
    <t>Selalu kirim no_hp sebagai STRING format 62xxxxxxxxxx (tanpa +, tanpa 0 depan). Jangan kirim sebagai angka.</t>
  </si>
  <si>
    <t>Tanggal = TEKS ISO</t>
  </si>
  <si>
    <t>Format YYYY-MM-DD (contoh 2026-06-18). Dikirim sebagai string, bukan serial Excel.</t>
  </si>
  <si>
    <t>Rupiah = angka bulat</t>
  </si>
  <si>
    <t>Kolom *_rp / harga / nilai berisi angka bulat tanpa titik/koma/teks (contoh 800000000).</t>
  </si>
  <si>
    <t>Persen = angka 0-100</t>
  </si>
  <si>
    <t>progres_persen berisi angka bulat 0 sampai 100 (contoh 25), bukan "25%" atau 0.25.</t>
  </si>
  <si>
    <t>Nilai pilihan</t>
  </si>
  <si>
    <t>Kolom status/source/layanan/tier/tahap WAJIB memakai nilai dari sheet Ref_Pilihan agar konsisten.</t>
  </si>
  <si>
    <t>Sheet referensi</t>
  </si>
  <si>
    <t>Sheet diawali 'Ref_' adalah data harga &amp; lookup — JANGAN ditulis oleh n8n. Hanya dibaca.</t>
  </si>
  <si>
    <t>Kalkulator</t>
  </si>
  <si>
    <t>Sheet Kalkulator berisi rumus terpisah dari data, agar append baris tidak pernah merusak formula.</t>
  </si>
  <si>
    <t>DAFTAR SHEET</t>
  </si>
  <si>
    <t>Leads</t>
  </si>
  <si>
    <t>Pipeline lead/calon klien (gabungan 'Data Customer' + 'Data AI' lama). Target append utama dari AI agent.</t>
  </si>
  <si>
    <t>Clients</t>
  </si>
  <si>
    <t>Klien yang sudah deal/berjalan — nilai kontrak &amp; jadwal proyek.</t>
  </si>
  <si>
    <t>Proposal_History</t>
  </si>
  <si>
    <t>Riwayat proposal yang dikirim ke klien.</t>
  </si>
  <si>
    <t>Konten_Kalender</t>
  </si>
  <si>
    <t>Jadwal konten Instagram/LinkedIn/Website.</t>
  </si>
  <si>
    <t>Ref_Jasa_Perencanaan</t>
  </si>
  <si>
    <t>Harga jasa desain (design fee) per m² — Ekonomi/Standar/Premium.</t>
  </si>
  <si>
    <t>Ref_Design_Build</t>
  </si>
  <si>
    <t>Harga Design &amp; Build (desain+bangun) per satuan — Standar/Premium/Luxury + maintenance.</t>
  </si>
  <si>
    <t>Ref_RAB_Konstruksi</t>
  </si>
  <si>
    <t>Referensi biaya konstruksi pasar (borongan all-in) per m².</t>
  </si>
  <si>
    <t>Ref_Status_Lead</t>
  </si>
  <si>
    <t>Penjelasan status lead (Cold/Warm/Hot/Closed).</t>
  </si>
  <si>
    <t>Ref_Pilihan</t>
  </si>
  <si>
    <t>Daftar nilai sah (enum) untuk dropdown &amp; validasi tiap kolom.</t>
  </si>
  <si>
    <t>Estimasi otomatis Jasa &amp; Design &amp; Build (isi sel biru).</t>
  </si>
  <si>
    <t>PERUBAHAN DARI FILE LAMA</t>
  </si>
  <si>
    <t>Sheet digabung</t>
  </si>
  <si>
    <t>'Data Customer' + 'Data AI' (duplikat, format beda) → satu sheet 'Leads' dengan format seragam.</t>
  </si>
  <si>
    <t>Sheet ganti nama</t>
  </si>
  <si>
    <t>'clients_database (link beda) ka' → 'Clients'. 'proposal_history' → 'Proposal_History'. (Update referensi node n8n.)</t>
  </si>
  <si>
    <t>Harga diperbarui</t>
  </si>
  <si>
    <t>Mengikuti rate card 2026: Arsitektur 50/110/200rb, Interior 60/120/225rb, dst. Tanpa VR.</t>
  </si>
  <si>
    <t>PPN opsional</t>
  </si>
  <si>
    <t>PPN tidak lagi dipaksa. Kalkulator punya tombol Pakai PPN (1/0) + tarif yang bisa diatur.</t>
  </si>
  <si>
    <t>HP &amp; tanggal</t>
  </si>
  <si>
    <t>Dinormalkan: HP jadi teks 62…, tanggal jadi teks ISO, progres jadi angka 0-100.</t>
  </si>
  <si>
    <t>id</t>
  </si>
  <si>
    <t>tanggal_masuk</t>
  </si>
  <si>
    <t>nama</t>
  </si>
  <si>
    <t>no_hp</t>
  </si>
  <si>
    <t>source</t>
  </si>
  <si>
    <t>layanan</t>
  </si>
  <si>
    <t>jenis_proyek</t>
  </si>
  <si>
    <t>lokasi</t>
  </si>
  <si>
    <t>luas_m2</t>
  </si>
  <si>
    <t>tier</t>
  </si>
  <si>
    <t>estimasi_rp</t>
  </si>
  <si>
    <t>status</t>
  </si>
  <si>
    <t>tahap</t>
  </si>
  <si>
    <t>progres_persen</t>
  </si>
  <si>
    <t>tgl_update</t>
  </si>
  <si>
    <t>ringkasan</t>
  </si>
  <si>
    <t>2026-05-21</t>
  </si>
  <si>
    <t>Budi Santoso</t>
  </si>
  <si>
    <t>628123456789</t>
  </si>
  <si>
    <t>WhatsApp</t>
  </si>
  <si>
    <t>Design &amp; Build</t>
  </si>
  <si>
    <t>Rumah Tinggal</t>
  </si>
  <si>
    <t>Surabaya</t>
  </si>
  <si>
    <t>Hot</t>
  </si>
  <si>
    <t>Desain Skematik</t>
  </si>
  <si>
    <t>2026-05-25</t>
  </si>
  <si>
    <t>Tanya biaya rumah 2 lantai 120m2. Estimasi Rp360-960jt. Minta proposal.</t>
  </si>
  <si>
    <t>Dewi Lestari</t>
  </si>
  <si>
    <t>628987654321</t>
  </si>
  <si>
    <t>Instagram</t>
  </si>
  <si>
    <t>Interior</t>
  </si>
  <si>
    <t>Renovasi Interior</t>
  </si>
  <si>
    <t>Jakarta</t>
  </si>
  <si>
    <t>Warm</t>
  </si>
  <si>
    <t>Brief</t>
  </si>
  <si>
    <t>2026-05-28</t>
  </si>
  <si>
    <t>Renovasi ruang tamu + kamar utama. Budget 400jt. Masih survei.</t>
  </si>
  <si>
    <t>Ahmad Rizky</t>
  </si>
  <si>
    <t>628567891234</t>
  </si>
  <si>
    <t>Website</t>
  </si>
  <si>
    <t>Cafe</t>
  </si>
  <si>
    <t>Bandung</t>
  </si>
  <si>
    <t>Premium</t>
  </si>
  <si>
    <t>Cold</t>
  </si>
  <si>
    <t>-</t>
  </si>
  <si>
    <t>2026-05-30</t>
  </si>
  <si>
    <t>Tanya estimasi cafe 150m2. Belum ada keputusan.</t>
  </si>
  <si>
    <t>2026-05-20</t>
  </si>
  <si>
    <t>Izzun</t>
  </si>
  <si>
    <t>6282111115619</t>
  </si>
  <si>
    <t>Inquiry</t>
  </si>
  <si>
    <t>2026-06-15</t>
  </si>
  <si>
    <t>Kontak awal via WhatsApp. Detail proyek belum tersedia.</t>
  </si>
  <si>
    <t>2026-04-10</t>
  </si>
  <si>
    <t>(Tanpa Nama)</t>
  </si>
  <si>
    <t>6282118300967</t>
  </si>
  <si>
    <t>Ingin membangun cafe 100m2 standar premium. Menanyakan tahapan desain &amp; portofolio.</t>
  </si>
  <si>
    <t>2026-05-22</t>
  </si>
  <si>
    <t>Ndika</t>
  </si>
  <si>
    <t>628213842251</t>
  </si>
  <si>
    <t>Standar</t>
  </si>
  <si>
    <t>Konsultasi Awal</t>
  </si>
  <si>
    <t>Rumah tinggal 45m2 kelas standar. Sudah terima estimasi, diundang konsultasi awal gratis.</t>
  </si>
  <si>
    <t>tanggal_deal</t>
  </si>
  <si>
    <t>nilai_kontrak_rp</t>
  </si>
  <si>
    <t>tgl_mulai</t>
  </si>
  <si>
    <t>tgl_selesai_target</t>
  </si>
  <si>
    <t>status_proyek</t>
  </si>
  <si>
    <t>catatan</t>
  </si>
  <si>
    <t>2026-06-01</t>
  </si>
  <si>
    <t>Contoh Klien</t>
  </si>
  <si>
    <t>628100000000</t>
  </si>
  <si>
    <t>2026-06-10</t>
  </si>
  <si>
    <t>2026-12-10</t>
  </si>
  <si>
    <t>Konstruksi</t>
  </si>
  <si>
    <t>Baris contoh — hapus saat produksi.</t>
  </si>
  <si>
    <t>tanggal</t>
  </si>
  <si>
    <t>nama_klien</t>
  </si>
  <si>
    <t>jenis_proposal</t>
  </si>
  <si>
    <t>nilai_rp</t>
  </si>
  <si>
    <t>link_file</t>
  </si>
  <si>
    <t>2026-05-26</t>
  </si>
  <si>
    <t>Penawaran Desain</t>
  </si>
  <si>
    <t>Terkirim</t>
  </si>
  <si>
    <t>platform</t>
  </si>
  <si>
    <t>kategori</t>
  </si>
  <si>
    <t>judul</t>
  </si>
  <si>
    <t>caption_draft</t>
  </si>
  <si>
    <t>format_visual</t>
  </si>
  <si>
    <t>Portofolio</t>
  </si>
  <si>
    <t>Rumah Minimalis Surabaya</t>
  </si>
  <si>
    <t>Wujudkan rumah impian kamu bersama Sudut Ruang.</t>
  </si>
  <si>
    <t>Foto eksterior</t>
  </si>
  <si>
    <t>Draft</t>
  </si>
  <si>
    <t>2026-05-24</t>
  </si>
  <si>
    <t>Tips &amp; Edukasi</t>
  </si>
  <si>
    <t>5 Tips Hemat Biaya Renovasi</t>
  </si>
  <si>
    <t>Renovasi tidak harus mahal. Ini tipsnya.</t>
  </si>
  <si>
    <t>Carousel infografis</t>
  </si>
  <si>
    <t>LinkedIn</t>
  </si>
  <si>
    <t>Behind the Scene</t>
  </si>
  <si>
    <t>Proses Desain Studio Kami</t>
  </si>
  <si>
    <t>Dari sketsa ke realita — begini proses kerja tim kami.</t>
  </si>
  <si>
    <t>Video time-lapse</t>
  </si>
  <si>
    <t>Idea</t>
  </si>
  <si>
    <t>Testimoni</t>
  </si>
  <si>
    <t>Review Klien Cafe Bandung</t>
  </si>
  <si>
    <t>Terima kasih atas kepercayaannya.</t>
  </si>
  <si>
    <t>Foto after + quote</t>
  </si>
  <si>
    <t>Blog/SEO</t>
  </si>
  <si>
    <t>Biaya Desain Rumah 2026</t>
  </si>
  <si>
    <t>Panduan estimasi biaya untuk calon klien.</t>
  </si>
  <si>
    <t>Featured image</t>
  </si>
  <si>
    <t>kunci</t>
  </si>
  <si>
    <t>harga_per_m2</t>
  </si>
  <si>
    <t>satuan</t>
  </si>
  <si>
    <t>rab_termasuk</t>
  </si>
  <si>
    <t>output_ringkas</t>
  </si>
  <si>
    <t>cocok_untuk</t>
  </si>
  <si>
    <t>Arsitektur-Ekonomi</t>
  </si>
  <si>
    <t>Arsitektur</t>
  </si>
  <si>
    <t>Ekonomi</t>
  </si>
  <si>
    <t>m2</t>
  </si>
  <si>
    <t>Tidak</t>
  </si>
  <si>
    <t>Layout denah, denah final, tampak utama, 2-3 perspektif 3D, estimasi kasar</t>
  </si>
  <si>
    <t>Rumah subsidi, rumah tumbuh, developer kecil</t>
  </si>
  <si>
    <t>Arsitektur-Standar</t>
  </si>
  <si>
    <t>Ya (estimasi)</t>
  </si>
  <si>
    <t>Konsep, denah lengkap, tampak 4 sisi, potongan, atap, DD, 3D, RAB, material board</t>
  </si>
  <si>
    <t>Rumah 100-300 m2, proyek menengah</t>
  </si>
  <si>
    <t>Arsitektur-Premium</t>
  </si>
  <si>
    <t>Ya (detail+BOQ)</t>
  </si>
  <si>
    <t>Semua Standar + detail drawing, plafon, pola lantai, schedule, RAB&amp;BOQ, 3D realistis, 3x kunjungan, garansi konsultasi 30 hari</t>
  </si>
  <si>
    <t>Rumah mewah, villa, klien luar provinsi</t>
  </si>
  <si>
    <t>Interior-Ekonomi</t>
  </si>
  <si>
    <t>Moodboard, layout furniture, 3D sederhana, estimasi kasar</t>
  </si>
  <si>
    <t>Kebutuhan dasar 1-2 ruang</t>
  </si>
  <si>
    <t>Interior-Standar</t>
  </si>
  <si>
    <t>Moodboard, layout semua ruang, gambar interior, material schedule, 3D realistis, RAB</t>
  </si>
  <si>
    <t>Full unit menengah</t>
  </si>
  <si>
    <t>Interior-Premium</t>
  </si>
  <si>
    <t>Semua Standar + shop drawing custom, BOQ, rekomendasi vendor, 3D multi-ruang, garansi 30 hari</t>
  </si>
  <si>
    <t>Luxury, hospitality</t>
  </si>
  <si>
    <t>Landscape-Ekonomi</t>
  </si>
  <si>
    <t>Landscape</t>
  </si>
  <si>
    <t>Layout taman, planting plan dasar, 3D sederhana, estimasi kasar</t>
  </si>
  <si>
    <t>Taman rumah sederhana</t>
  </si>
  <si>
    <t>Landscape-Standar</t>
  </si>
  <si>
    <t>Layout lengkap, planting plan detail, hardscape dasar, 3D realistis, RAB</t>
  </si>
  <si>
    <t>Taman residensial</t>
  </si>
  <si>
    <t>Landscape-Premium</t>
  </si>
  <si>
    <t>Masterplan, hardscape &amp; softscape detail, lighting plan, RAB&amp;BOQ, 3D multi-view, garansi 30 hari</t>
  </si>
  <si>
    <t>Villa, resort, komersial</t>
  </si>
  <si>
    <t>Renovasi-Ekonomi</t>
  </si>
  <si>
    <t>Renovasi</t>
  </si>
  <si>
    <t>Survey existing, layout usulan, estimasi kasar</t>
  </si>
  <si>
    <t>Renovasi ringan</t>
  </si>
  <si>
    <t>Renovasi-Standar</t>
  </si>
  <si>
    <t>Ya</t>
  </si>
  <si>
    <t>Existing drawing, DD, 3D, RAB</t>
  </si>
  <si>
    <t>Renovasi sedang</t>
  </si>
  <si>
    <t>Renovasi-Premium</t>
  </si>
  <si>
    <t>Existing survey detail, gambar lengkap, detail drawing, RAB&amp;BOQ, 3D, pendampingan, garansi 30 hari</t>
  </si>
  <si>
    <t>Renovasi total</t>
  </si>
  <si>
    <t>grup</t>
  </si>
  <si>
    <t>harga_min</t>
  </si>
  <si>
    <t>harga_max</t>
  </si>
  <si>
    <t>D&amp;B Arsitektur-Standar</t>
  </si>
  <si>
    <t>Bangunan</t>
  </si>
  <si>
    <t>D&amp;B Arsitektur</t>
  </si>
  <si>
    <t>Rumah keluarga, kost, ruko/kantor</t>
  </si>
  <si>
    <t>D&amp;B Arsitektur-Premium</t>
  </si>
  <si>
    <t>Rumah premium, villa, cafe, klinik</t>
  </si>
  <si>
    <t>D&amp;B Arsitektur-Luxury</t>
  </si>
  <si>
    <t>Luxury</t>
  </si>
  <si>
    <t>Rumah mewah, resort (15jt+ untuk impor penuh)</t>
  </si>
  <si>
    <t>D&amp;B Interior-Standar</t>
  </si>
  <si>
    <t>D&amp;B Interior</t>
  </si>
  <si>
    <t>Ceiling, cat, furniture loose, built-in sederhana</t>
  </si>
  <si>
    <t>D&amp;B Interior-Premium</t>
  </si>
  <si>
    <t>Custom furniture, kitchen set, wardrobe, wall panel</t>
  </si>
  <si>
    <t>D&amp;B Interior-Luxury</t>
  </si>
  <si>
    <t>Veneer, marble, solid wood, smart home</t>
  </si>
  <si>
    <t>D&amp;B Interior Cafe-Standar</t>
  </si>
  <si>
    <t>D&amp;B Interior Cafe</t>
  </si>
  <si>
    <t>Fit-out cafe dasar</t>
  </si>
  <si>
    <t>D&amp;B Interior Cafe-Premium</t>
  </si>
  <si>
    <t>Full custom interior cafe</t>
  </si>
  <si>
    <t>D&amp;B Interior Cafe-Luxury</t>
  </si>
  <si>
    <t>Flagship store</t>
  </si>
  <si>
    <t>Kitchen Set-Standar</t>
  </si>
  <si>
    <t>Komponen</t>
  </si>
  <si>
    <t>Kitchen Set</t>
  </si>
  <si>
    <t>m'</t>
  </si>
  <si>
    <t>Material HPL</t>
  </si>
  <si>
    <t>Kitchen Set-Premium</t>
  </si>
  <si>
    <t>HPL premium</t>
  </si>
  <si>
    <t>Kitchen Set-Luxury</t>
  </si>
  <si>
    <t>Veneer / solid wood</t>
  </si>
  <si>
    <t>Wardrobe-Standar</t>
  </si>
  <si>
    <t>Wardrobe</t>
  </si>
  <si>
    <t>Material standar</t>
  </si>
  <si>
    <t>Wardrobe-Premium</t>
  </si>
  <si>
    <t>Material premium</t>
  </si>
  <si>
    <t>Wardrobe-Luxury</t>
  </si>
  <si>
    <t>Custom luxury</t>
  </si>
  <si>
    <t>D&amp;B Landscape Taman Rumah-Standar</t>
  </si>
  <si>
    <t>D&amp;B Landscape Taman Rumah</t>
  </si>
  <si>
    <t>Rumput, tanaman, stepping stone, lampu sederhana</t>
  </si>
  <si>
    <t>D&amp;B Landscape Taman Rumah-Premium</t>
  </si>
  <si>
    <t>Hardscape, softscape, lighting, irigasi</t>
  </si>
  <si>
    <t>D&amp;B Landscape Taman Rumah-Luxury</t>
  </si>
  <si>
    <t>Batu alam premium, kolam, decking, smart irrigation</t>
  </si>
  <si>
    <t>Taman Villa-Standar</t>
  </si>
  <si>
    <t>Taman Villa</t>
  </si>
  <si>
    <t>Taman Villa-Premium</t>
  </si>
  <si>
    <t>Taman Villa-Luxury</t>
  </si>
  <si>
    <t>Rooftop Garden-Standar</t>
  </si>
  <si>
    <t>Rooftop Garden</t>
  </si>
  <si>
    <t>Termasuk waterproofing dasar</t>
  </si>
  <si>
    <t>Rooftop Garden-Premium</t>
  </si>
  <si>
    <t>Rooftop Garden-Luxury</t>
  </si>
  <si>
    <t>Vertical Garden-Standar</t>
  </si>
  <si>
    <t>Vertical Garden</t>
  </si>
  <si>
    <t>Vertical Garden-Premium</t>
  </si>
  <si>
    <t>Vertical Garden-Luxury</t>
  </si>
  <si>
    <t>Kolam Koi-Standar</t>
  </si>
  <si>
    <t>Fitur Air</t>
  </si>
  <si>
    <t>Kolam Koi</t>
  </si>
  <si>
    <t>Kolam Koi-Premium</t>
  </si>
  <si>
    <t>Dengan sistem filtrasi</t>
  </si>
  <si>
    <t>Kolam Koi-Luxury</t>
  </si>
  <si>
    <t>Filtrasi lengkap + finishing premium</t>
  </si>
  <si>
    <t>Kolam Renang-Standar</t>
  </si>
  <si>
    <t>Kolam Renang</t>
  </si>
  <si>
    <t>Kolam Renang-Premium</t>
  </si>
  <si>
    <t>Kolam Renang-Luxury</t>
  </si>
  <si>
    <t>Infinity, sistem lengkap</t>
  </si>
  <si>
    <t>Maintenance Rumah-Basic</t>
  </si>
  <si>
    <t>Maintenance</t>
  </si>
  <si>
    <t>Maintenance Rumah</t>
  </si>
  <si>
    <t>Basic</t>
  </si>
  <si>
    <t>bulan</t>
  </si>
  <si>
    <t>Potong rumput, pemupukan</t>
  </si>
  <si>
    <t>Maintenance Rumah-Premium</t>
  </si>
  <si>
    <t>+ penyemprotan, ganti tanaman mati</t>
  </si>
  <si>
    <t>Maintenance Villa-Basic</t>
  </si>
  <si>
    <t>Maintenance Villa</t>
  </si>
  <si>
    <t>Tergantung luas</t>
  </si>
  <si>
    <t>Maintenance Villa-Premium</t>
  </si>
  <si>
    <t>Perawatan menyeluruh</t>
  </si>
  <si>
    <t>Maintenance Kawasan-Custom</t>
  </si>
  <si>
    <t>Maintenance Kawasan</t>
  </si>
  <si>
    <t>Custom</t>
  </si>
  <si>
    <t>By proposal</t>
  </si>
  <si>
    <t>tipe_bangunan</t>
  </si>
  <si>
    <t>kelas</t>
  </si>
  <si>
    <t>harga_min_per_m2</t>
  </si>
  <si>
    <t>harga_max_per_m2</t>
  </si>
  <si>
    <t>spesifikasi</t>
  </si>
  <si>
    <t>keterangan</t>
  </si>
  <si>
    <t>Rumah Tinggal-Ekonomi</t>
  </si>
  <si>
    <t>Bata merah, keramik standar, cat lokal</t>
  </si>
  <si>
    <t>Type 21-36</t>
  </si>
  <si>
    <t>Rumah Tinggal-Standar</t>
  </si>
  <si>
    <t>Bata ringan, granit, cat premium</t>
  </si>
  <si>
    <t>Type 36-70</t>
  </si>
  <si>
    <t>Rumah Tinggal-Menengah</t>
  </si>
  <si>
    <t>Menengah</t>
  </si>
  <si>
    <t>Material campuran, plafon gypsum detail</t>
  </si>
  <si>
    <t>Type 70-150</t>
  </si>
  <si>
    <t>Rumah Tinggal-Mewah</t>
  </si>
  <si>
    <t>Mewah</t>
  </si>
  <si>
    <t>Material premium sebagian</t>
  </si>
  <si>
    <t>Rumah Tinggal-Luxury</t>
  </si>
  <si>
    <t>Full premium, smart home, material impor</t>
  </si>
  <si>
    <t>Ruko / Kios-Standar</t>
  </si>
  <si>
    <t>Ruko / Kios</t>
  </si>
  <si>
    <t>Struktur beton, fasad sederhana</t>
  </si>
  <si>
    <t>2-3 lantai</t>
  </si>
  <si>
    <t>Ruko / Kios-Premium</t>
  </si>
  <si>
    <t>ACP, kaca tempered, lift opsional</t>
  </si>
  <si>
    <t>3-5 lantai</t>
  </si>
  <si>
    <t>Cafe / Restoran-Standar</t>
  </si>
  <si>
    <t>Cafe / Restoran</t>
  </si>
  <si>
    <t>Partisi, plafon ekspos, lighting dasar</t>
  </si>
  <si>
    <t>Fit-out dasar</t>
  </si>
  <si>
    <t>Cafe / Restoran-Premium</t>
  </si>
  <si>
    <t>Full custom interior, HVAC, audio system</t>
  </si>
  <si>
    <t>Flagship</t>
  </si>
  <si>
    <t>Kantor-Standar</t>
  </si>
  <si>
    <t>Kantor</t>
  </si>
  <si>
    <t>Open plan, raised floor opsional</t>
  </si>
  <si>
    <t>Per m2 lantai</t>
  </si>
  <si>
    <t>Kantor-Premium</t>
  </si>
  <si>
    <t>Full partisi, false ceiling, M&amp;E lengkap</t>
  </si>
  <si>
    <t>Grade A</t>
  </si>
  <si>
    <t>Villa / Guest House-Standar</t>
  </si>
  <si>
    <t>Villa / Guest House</t>
  </si>
  <si>
    <t>Tropis, kayu lokal, kolam kecil</t>
  </si>
  <si>
    <t>Villa / Guest House-Premium</t>
  </si>
  <si>
    <t>Infinity pool, stone wall, smart system</t>
  </si>
  <si>
    <t>Renovasi (Parsial)-Ringan</t>
  </si>
  <si>
    <t>Renovasi (Parsial)</t>
  </si>
  <si>
    <t>Ringan</t>
  </si>
  <si>
    <t>Cat ulang, keramik, partisi ringan</t>
  </si>
  <si>
    <t>Max 30% area</t>
  </si>
  <si>
    <t>Renovasi (Parsial)-Sedang</t>
  </si>
  <si>
    <t>Sedang</t>
  </si>
  <si>
    <t>Bongkar pasang, MEP sebagian</t>
  </si>
  <si>
    <t>30-60% area</t>
  </si>
  <si>
    <t>Renovasi (Total)-Full Gut</t>
  </si>
  <si>
    <t>Renovasi (Total)</t>
  </si>
  <si>
    <t>Full Gut</t>
  </si>
  <si>
    <t>Bongkar total hingga struktur</t>
  </si>
  <si>
    <t>60-100% area</t>
  </si>
  <si>
    <t>Catatan:</t>
  </si>
  <si>
    <t>Angka = biaya borongan all-in pasar (riset 2026); harga material fluktuatif 5-12%/tahun. Bukan harga jual D&amp;B (lihat Ref_Design_Build).</t>
  </si>
  <si>
    <t>deskripsi</t>
  </si>
  <si>
    <t>tindakan</t>
  </si>
  <si>
    <t>Belum tertarik / baru inquiry</t>
  </si>
  <si>
    <t>Nurturing, kirim konten/portofolio</t>
  </si>
  <si>
    <t>Tertarik, masih pertimbangan</t>
  </si>
  <si>
    <t>Follow-up berkala, kirim estimasi</t>
  </si>
  <si>
    <t>Siap deal, perlu follow-up segera</t>
  </si>
  <si>
    <t>Prioritas: kirim proposal &amp; SPK</t>
  </si>
  <si>
    <t>Closed</t>
  </si>
  <si>
    <t>Deal berhasil / kontrak ditandatangani</t>
  </si>
  <si>
    <t>Pindahkan ke sheet Clients</t>
  </si>
  <si>
    <t>status_lead</t>
  </si>
  <si>
    <t>status_konten</t>
  </si>
  <si>
    <t>status_proposal</t>
  </si>
  <si>
    <t>db_kategori</t>
  </si>
  <si>
    <t>Desain</t>
  </si>
  <si>
    <t>Follow-up</t>
  </si>
  <si>
    <t>Scheduled</t>
  </si>
  <si>
    <t>Diterima</t>
  </si>
  <si>
    <t>Selesai</t>
  </si>
  <si>
    <t>Estimasi</t>
  </si>
  <si>
    <t>Posted</t>
  </si>
  <si>
    <t>Ditolak</t>
  </si>
  <si>
    <t>Garansi</t>
  </si>
  <si>
    <t>TikTok</t>
  </si>
  <si>
    <t>Referral</t>
  </si>
  <si>
    <t>Proposal Terkirim</t>
  </si>
  <si>
    <t>YouTube</t>
  </si>
  <si>
    <t>Lainnya</t>
  </si>
  <si>
    <t>Design Development</t>
  </si>
  <si>
    <t>Detail Desain</t>
  </si>
  <si>
    <t>Serah Terima</t>
  </si>
  <si>
    <t>KALKULATOR ESTIMASI — SUDUT RUANG ARSITEK</t>
  </si>
  <si>
    <t>Isi hanya sel berwarna (biru/kuning). Hasil terhitung otomatis.</t>
  </si>
  <si>
    <t>A. JASA PERENCANAAN (DESIGN FEE)</t>
  </si>
  <si>
    <t>Layanan</t>
  </si>
  <si>
    <t>Pilih: Arsitektur / Interior / Landscape / Renovasi</t>
  </si>
  <si>
    <t>Tier</t>
  </si>
  <si>
    <t>Ekonomi / Standar / Premium</t>
  </si>
  <si>
    <t>Luas (m2)</t>
  </si>
  <si>
    <t>Harga per m2 (Rp)</t>
  </si>
  <si>
    <t>otomatis dari Ref_Jasa_Perencanaan</t>
  </si>
  <si>
    <t>Fee Jasa (Rp)</t>
  </si>
  <si>
    <t>Pakai PPN? (1=Ya, 0=Tidak)</t>
  </si>
  <si>
    <t>Tarif PPN</t>
  </si>
  <si>
    <t>contoh 0.11 atau 0.12</t>
  </si>
  <si>
    <t>PPN (Rp)</t>
  </si>
  <si>
    <t>TOTAL (Rp)</t>
  </si>
  <si>
    <t>B. DESIGN &amp; BUILD (DESAIN + BANGUN)</t>
  </si>
  <si>
    <t>Kategori</t>
  </si>
  <si>
    <t>lihat Ref_Pilihan kolom db_kategori</t>
  </si>
  <si>
    <t>Standar / Premium / Luxury</t>
  </si>
  <si>
    <t>Luas / Volume</t>
  </si>
  <si>
    <t>m2, m', atau bulan sesuai kategori</t>
  </si>
  <si>
    <t>Harga Min per satuan (Rp)</t>
  </si>
  <si>
    <t>Harga Max per satuan (Rp)</t>
  </si>
  <si>
    <t>Estimasi Min (Rp)</t>
  </si>
  <si>
    <t>Estimasi Max (Rp)</t>
  </si>
  <si>
    <t>Total Min (Rp)</t>
  </si>
  <si>
    <t>Total Max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</si>
</sst>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043666"/>
      <name val="Arial"/>
      <charset val="1"/>
    </font>
    <font>
      <i/>
      <sz val="10"/>
      <color rgb="FF6B7280"/>
      <name val="Arial"/>
      <charset val="1"/>
    </font>
    <font>
      <sz val="9"/>
      <color rgb="FF6B7280"/>
      <name val="Arial"/>
      <charset val="1"/>
    </font>
    <font>
      <b/>
      <sz val="10"/>
      <color rgb="FF043666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6B7280"/>
      <name val="Arial"/>
      <charset val="1"/>
    </font>
    <font>
      <i/>
      <sz val="9"/>
      <color rgb="FF6B7280"/>
      <name val="Arial"/>
      <charset val="1"/>
    </font>
    <font>
      <b/>
      <sz val="14"/>
      <color rgb="FF043666"/>
      <name val="Arial"/>
      <charset val="1"/>
    </font>
    <font>
      <b/>
      <sz val="12"/>
      <color rgb="FFFFFFFF"/>
      <name val="Arial"/>
      <charset val="1"/>
    </font>
    <font>
      <b/>
      <sz val="10"/>
      <color rgb="FF0000FF"/>
      <name val="Arial"/>
      <charset val="1"/>
    </font>
    <font>
      <b/>
      <sz val="11"/>
      <color rgb="FF043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1F0F8"/>
        <bgColor rgb="FFD9E6EF"/>
      </patternFill>
    </fill>
    <fill>
      <patternFill patternType="solid">
        <fgColor rgb="FF043666"/>
        <bgColor rgb="FF333399"/>
      </patternFill>
    </fill>
    <fill>
      <patternFill patternType="solid">
        <fgColor rgb="FFFFF8E1"/>
        <bgColor rgb="FFFFFFFF"/>
      </patternFill>
    </fill>
  </fills>
  <borders count="2">
    <border>
      <left/>
      <right/>
      <top/>
      <bottom/>
      <diagonal/>
    </border>
    <border>
      <left style="thin">
        <color rgb="FFD9E6EF"/>
      </left>
      <right style="thin">
        <color rgb="FFD9E6EF"/>
      </right>
      <top style="thin">
        <color rgb="FFD9E6EF"/>
      </top>
      <bottom style="thin">
        <color rgb="FFD9E6E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7" fillId="3" borderId="1" xfId="0" applyFont="1" applyFill="1" applyBorder="1" applyAlignment="1">
      <alignment horizontal="center"/>
    </xf>
    <xf numFmtId="0" fontId="8" fillId="0" borderId="1" xfId="0" applyFont="1" applyBorder="1"/>
    <xf numFmtId="0" fontId="11" fillId="0" borderId="0" xfId="0" applyFont="1"/>
    <xf numFmtId="0" fontId="12" fillId="3" borderId="0" xfId="0" applyFont="1" applyFill="1"/>
    <xf numFmtId="0" fontId="0" fillId="3" borderId="0" xfId="0" applyFill="1"/>
    <xf numFmtId="0" fontId="13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9" fontId="13" fillId="4" borderId="1" xfId="0" applyNumberFormat="1" applyFont="1" applyFill="1" applyBorder="1" applyAlignment="1">
      <alignment horizontal="center"/>
    </xf>
    <xf numFmtId="0" fontId="14" fillId="0" borderId="0" xfId="0" applyFont="1"/>
    <xf numFmtId="3" fontId="1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1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6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436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showGridLines="0" tabSelected="1" topLeftCell="A6" zoomScaleNormal="100" workbookViewId="0"/>
  </sheetViews>
  <sheetFormatPr defaultColWidth="8.6640625" defaultRowHeight="14.25" x14ac:dyDescent="0.45"/>
  <cols>
    <col min="1" max="1" width="26" customWidth="1"/>
    <col min="2" max="2" width="85" customWidth="1"/>
  </cols>
  <sheetData>
    <row r="1" spans="1:2" ht="20.65" x14ac:dyDescent="0.6">
      <c r="A1" s="1" t="s">
        <v>0</v>
      </c>
    </row>
    <row r="2" spans="1:2" x14ac:dyDescent="0.45">
      <c r="A2" s="2" t="s">
        <v>1</v>
      </c>
    </row>
    <row r="3" spans="1:2" x14ac:dyDescent="0.45">
      <c r="A3" s="3" t="s">
        <v>2</v>
      </c>
    </row>
    <row r="5" spans="1:2" x14ac:dyDescent="0.45">
      <c r="A5" s="4" t="s">
        <v>3</v>
      </c>
      <c r="B5" s="5" t="s">
        <v>4</v>
      </c>
    </row>
    <row r="6" spans="1:2" ht="25.5" x14ac:dyDescent="0.45">
      <c r="A6" s="6" t="s">
        <v>5</v>
      </c>
      <c r="B6" s="7" t="s">
        <v>6</v>
      </c>
    </row>
    <row r="7" spans="1:2" ht="25.5" x14ac:dyDescent="0.45">
      <c r="A7" s="6" t="s">
        <v>7</v>
      </c>
      <c r="B7" s="7" t="s">
        <v>8</v>
      </c>
    </row>
    <row r="8" spans="1:2" ht="25.5" x14ac:dyDescent="0.45">
      <c r="A8" s="6" t="s">
        <v>9</v>
      </c>
      <c r="B8" s="7" t="s">
        <v>10</v>
      </c>
    </row>
    <row r="9" spans="1:2" ht="25.5" x14ac:dyDescent="0.45">
      <c r="A9" s="6" t="s">
        <v>11</v>
      </c>
      <c r="B9" s="7" t="s">
        <v>12</v>
      </c>
    </row>
    <row r="10" spans="1:2" x14ac:dyDescent="0.45">
      <c r="A10" s="6" t="s">
        <v>13</v>
      </c>
      <c r="B10" s="7" t="s">
        <v>14</v>
      </c>
    </row>
    <row r="11" spans="1:2" x14ac:dyDescent="0.45">
      <c r="A11" s="6" t="s">
        <v>15</v>
      </c>
      <c r="B11" s="7" t="s">
        <v>16</v>
      </c>
    </row>
    <row r="12" spans="1:2" x14ac:dyDescent="0.45">
      <c r="A12" s="6" t="s">
        <v>17</v>
      </c>
      <c r="B12" s="7" t="s">
        <v>18</v>
      </c>
    </row>
    <row r="13" spans="1:2" x14ac:dyDescent="0.45">
      <c r="A13" s="6" t="s">
        <v>19</v>
      </c>
      <c r="B13" s="7" t="s">
        <v>20</v>
      </c>
    </row>
    <row r="14" spans="1:2" x14ac:dyDescent="0.45">
      <c r="A14" s="6" t="s">
        <v>21</v>
      </c>
      <c r="B14" s="7" t="s">
        <v>22</v>
      </c>
    </row>
    <row r="15" spans="1:2" x14ac:dyDescent="0.45">
      <c r="A15" s="6" t="s">
        <v>23</v>
      </c>
      <c r="B15" s="7" t="s">
        <v>24</v>
      </c>
    </row>
    <row r="17" spans="1:2" x14ac:dyDescent="0.45">
      <c r="A17" s="4" t="s">
        <v>25</v>
      </c>
      <c r="B17" s="8"/>
    </row>
    <row r="18" spans="1:2" ht="25.5" x14ac:dyDescent="0.45">
      <c r="A18" s="6" t="s">
        <v>26</v>
      </c>
      <c r="B18" s="7" t="s">
        <v>27</v>
      </c>
    </row>
    <row r="19" spans="1:2" x14ac:dyDescent="0.45">
      <c r="A19" s="6" t="s">
        <v>28</v>
      </c>
      <c r="B19" s="7" t="s">
        <v>29</v>
      </c>
    </row>
    <row r="20" spans="1:2" x14ac:dyDescent="0.45">
      <c r="A20" s="6" t="s">
        <v>30</v>
      </c>
      <c r="B20" s="7" t="s">
        <v>31</v>
      </c>
    </row>
    <row r="21" spans="1:2" x14ac:dyDescent="0.45">
      <c r="A21" s="6" t="s">
        <v>32</v>
      </c>
      <c r="B21" s="7" t="s">
        <v>33</v>
      </c>
    </row>
    <row r="22" spans="1:2" x14ac:dyDescent="0.45">
      <c r="A22" s="6" t="s">
        <v>34</v>
      </c>
      <c r="B22" s="7" t="s">
        <v>35</v>
      </c>
    </row>
    <row r="23" spans="1:2" x14ac:dyDescent="0.45">
      <c r="A23" s="6" t="s">
        <v>36</v>
      </c>
      <c r="B23" s="7" t="s">
        <v>37</v>
      </c>
    </row>
    <row r="24" spans="1:2" x14ac:dyDescent="0.45">
      <c r="A24" s="6" t="s">
        <v>38</v>
      </c>
      <c r="B24" s="7" t="s">
        <v>39</v>
      </c>
    </row>
    <row r="25" spans="1:2" x14ac:dyDescent="0.45">
      <c r="A25" s="6" t="s">
        <v>40</v>
      </c>
      <c r="B25" s="7" t="s">
        <v>41</v>
      </c>
    </row>
    <row r="26" spans="1:2" x14ac:dyDescent="0.45">
      <c r="A26" s="6" t="s">
        <v>42</v>
      </c>
      <c r="B26" s="7" t="s">
        <v>43</v>
      </c>
    </row>
    <row r="27" spans="1:2" x14ac:dyDescent="0.45">
      <c r="A27" s="6" t="s">
        <v>23</v>
      </c>
      <c r="B27" s="7" t="s">
        <v>44</v>
      </c>
    </row>
    <row r="29" spans="1:2" x14ac:dyDescent="0.45">
      <c r="A29" s="4" t="s">
        <v>45</v>
      </c>
      <c r="B29" s="8"/>
    </row>
    <row r="30" spans="1:2" x14ac:dyDescent="0.45">
      <c r="A30" s="6" t="s">
        <v>46</v>
      </c>
      <c r="B30" s="7" t="s">
        <v>47</v>
      </c>
    </row>
    <row r="31" spans="1:2" ht="25.5" x14ac:dyDescent="0.45">
      <c r="A31" s="6" t="s">
        <v>48</v>
      </c>
      <c r="B31" s="7" t="s">
        <v>49</v>
      </c>
    </row>
    <row r="32" spans="1:2" x14ac:dyDescent="0.45">
      <c r="A32" s="6" t="s">
        <v>50</v>
      </c>
      <c r="B32" s="7" t="s">
        <v>51</v>
      </c>
    </row>
    <row r="33" spans="1:2" x14ac:dyDescent="0.45">
      <c r="A33" s="6" t="s">
        <v>52</v>
      </c>
      <c r="B33" s="7" t="s">
        <v>53</v>
      </c>
    </row>
    <row r="34" spans="1:2" x14ac:dyDescent="0.45">
      <c r="A34" s="6" t="s">
        <v>54</v>
      </c>
      <c r="B34" s="7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5" customWidth="1"/>
    <col min="2" max="2" width="14" customWidth="1"/>
    <col min="3" max="3" width="18" customWidth="1"/>
    <col min="4" max="4" width="16" customWidth="1"/>
    <col min="5" max="5" width="12" customWidth="1"/>
    <col min="6" max="6" width="15" customWidth="1"/>
    <col min="7" max="7" width="18" customWidth="1"/>
    <col min="8" max="8" width="12" customWidth="1"/>
    <col min="9" max="9" width="8" customWidth="1"/>
    <col min="10" max="10" width="10" customWidth="1"/>
    <col min="11" max="11" width="15" customWidth="1"/>
    <col min="12" max="12" width="9" customWidth="1"/>
    <col min="13" max="13" width="18" customWidth="1"/>
    <col min="14" max="14" width="9" customWidth="1"/>
    <col min="15" max="15" width="13" customWidth="1"/>
    <col min="16" max="16" width="55" customWidth="1"/>
  </cols>
  <sheetData>
    <row r="1" spans="1:16" ht="26.25" x14ac:dyDescent="0.45">
      <c r="A1" s="9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9" t="s">
        <v>66</v>
      </c>
      <c r="L1" s="9" t="s">
        <v>67</v>
      </c>
      <c r="M1" s="9" t="s">
        <v>68</v>
      </c>
      <c r="N1" s="9" t="s">
        <v>69</v>
      </c>
      <c r="O1" s="9" t="s">
        <v>70</v>
      </c>
      <c r="P1" s="9" t="s">
        <v>71</v>
      </c>
    </row>
    <row r="2" spans="1:16" ht="25.5" x14ac:dyDescent="0.45">
      <c r="A2" s="10">
        <v>1</v>
      </c>
      <c r="B2" s="11" t="s">
        <v>72</v>
      </c>
      <c r="C2" s="10" t="s">
        <v>73</v>
      </c>
      <c r="D2" s="11" t="s">
        <v>74</v>
      </c>
      <c r="E2" s="10" t="s">
        <v>75</v>
      </c>
      <c r="F2" s="10" t="s">
        <v>76</v>
      </c>
      <c r="G2" s="10" t="s">
        <v>77</v>
      </c>
      <c r="H2" s="10" t="s">
        <v>78</v>
      </c>
      <c r="I2" s="12">
        <v>120</v>
      </c>
      <c r="J2" s="10"/>
      <c r="K2" s="12">
        <v>800000000</v>
      </c>
      <c r="L2" s="10" t="s">
        <v>79</v>
      </c>
      <c r="M2" s="10" t="s">
        <v>80</v>
      </c>
      <c r="N2" s="13">
        <v>25</v>
      </c>
      <c r="O2" s="11" t="s">
        <v>81</v>
      </c>
      <c r="P2" s="14" t="s">
        <v>82</v>
      </c>
    </row>
    <row r="3" spans="1:16" x14ac:dyDescent="0.45">
      <c r="A3" s="15">
        <v>2</v>
      </c>
      <c r="B3" s="16" t="s">
        <v>72</v>
      </c>
      <c r="C3" s="15" t="s">
        <v>83</v>
      </c>
      <c r="D3" s="16" t="s">
        <v>84</v>
      </c>
      <c r="E3" s="15" t="s">
        <v>85</v>
      </c>
      <c r="F3" s="15" t="s">
        <v>86</v>
      </c>
      <c r="G3" s="15" t="s">
        <v>87</v>
      </c>
      <c r="H3" s="15" t="s">
        <v>88</v>
      </c>
      <c r="I3" s="17">
        <v>80</v>
      </c>
      <c r="J3" s="15"/>
      <c r="K3" s="17">
        <v>400000000</v>
      </c>
      <c r="L3" s="15" t="s">
        <v>89</v>
      </c>
      <c r="M3" s="15" t="s">
        <v>90</v>
      </c>
      <c r="N3" s="18">
        <v>10</v>
      </c>
      <c r="O3" s="16" t="s">
        <v>91</v>
      </c>
      <c r="P3" s="19" t="s">
        <v>92</v>
      </c>
    </row>
    <row r="4" spans="1:16" x14ac:dyDescent="0.45">
      <c r="A4" s="10">
        <v>3</v>
      </c>
      <c r="B4" s="11" t="s">
        <v>72</v>
      </c>
      <c r="C4" s="10" t="s">
        <v>93</v>
      </c>
      <c r="D4" s="11" t="s">
        <v>94</v>
      </c>
      <c r="E4" s="10" t="s">
        <v>95</v>
      </c>
      <c r="F4" s="10" t="s">
        <v>76</v>
      </c>
      <c r="G4" s="10" t="s">
        <v>96</v>
      </c>
      <c r="H4" s="10" t="s">
        <v>97</v>
      </c>
      <c r="I4" s="12">
        <v>150</v>
      </c>
      <c r="J4" s="10" t="s">
        <v>98</v>
      </c>
      <c r="K4" s="12">
        <v>1200000000</v>
      </c>
      <c r="L4" s="10" t="s">
        <v>99</v>
      </c>
      <c r="M4" s="10" t="s">
        <v>100</v>
      </c>
      <c r="N4" s="13">
        <v>0</v>
      </c>
      <c r="O4" s="11" t="s">
        <v>101</v>
      </c>
      <c r="P4" s="14" t="s">
        <v>102</v>
      </c>
    </row>
    <row r="5" spans="1:16" x14ac:dyDescent="0.45">
      <c r="A5" s="15">
        <v>4</v>
      </c>
      <c r="B5" s="16" t="s">
        <v>103</v>
      </c>
      <c r="C5" s="15" t="s">
        <v>104</v>
      </c>
      <c r="D5" s="16" t="s">
        <v>105</v>
      </c>
      <c r="E5" s="15" t="s">
        <v>75</v>
      </c>
      <c r="F5" s="15"/>
      <c r="G5" s="15"/>
      <c r="H5" s="15"/>
      <c r="I5" s="17">
        <v>0</v>
      </c>
      <c r="J5" s="15"/>
      <c r="K5" s="17">
        <v>0</v>
      </c>
      <c r="L5" s="15" t="s">
        <v>99</v>
      </c>
      <c r="M5" s="15" t="s">
        <v>106</v>
      </c>
      <c r="N5" s="18">
        <v>0</v>
      </c>
      <c r="O5" s="16" t="s">
        <v>107</v>
      </c>
      <c r="P5" s="19" t="s">
        <v>108</v>
      </c>
    </row>
    <row r="6" spans="1:16" ht="25.5" x14ac:dyDescent="0.45">
      <c r="A6" s="10">
        <v>5</v>
      </c>
      <c r="B6" s="11" t="s">
        <v>109</v>
      </c>
      <c r="C6" s="10" t="s">
        <v>110</v>
      </c>
      <c r="D6" s="11" t="s">
        <v>111</v>
      </c>
      <c r="E6" s="10" t="s">
        <v>75</v>
      </c>
      <c r="F6" s="10" t="s">
        <v>76</v>
      </c>
      <c r="G6" s="10" t="s">
        <v>96</v>
      </c>
      <c r="H6" s="10"/>
      <c r="I6" s="12">
        <v>100</v>
      </c>
      <c r="J6" s="10" t="s">
        <v>98</v>
      </c>
      <c r="K6" s="12">
        <v>0</v>
      </c>
      <c r="L6" s="10" t="s">
        <v>79</v>
      </c>
      <c r="M6" s="10" t="s">
        <v>106</v>
      </c>
      <c r="N6" s="13">
        <v>15</v>
      </c>
      <c r="O6" s="11" t="s">
        <v>107</v>
      </c>
      <c r="P6" s="14" t="s">
        <v>112</v>
      </c>
    </row>
    <row r="7" spans="1:16" ht="25.5" x14ac:dyDescent="0.45">
      <c r="A7" s="15">
        <v>6</v>
      </c>
      <c r="B7" s="16" t="s">
        <v>113</v>
      </c>
      <c r="C7" s="15" t="s">
        <v>114</v>
      </c>
      <c r="D7" s="16" t="s">
        <v>115</v>
      </c>
      <c r="E7" s="15" t="s">
        <v>75</v>
      </c>
      <c r="F7" s="15" t="s">
        <v>76</v>
      </c>
      <c r="G7" s="15" t="s">
        <v>77</v>
      </c>
      <c r="H7" s="15"/>
      <c r="I7" s="17">
        <v>45</v>
      </c>
      <c r="J7" s="15" t="s">
        <v>116</v>
      </c>
      <c r="K7" s="17">
        <v>307500000</v>
      </c>
      <c r="L7" s="15" t="s">
        <v>89</v>
      </c>
      <c r="M7" s="15" t="s">
        <v>117</v>
      </c>
      <c r="N7" s="18">
        <v>20</v>
      </c>
      <c r="O7" s="16" t="s">
        <v>107</v>
      </c>
      <c r="P7" s="19" t="s">
        <v>118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Ref_Pilihan!$B$2:$B$20</xm:f>
          </x14:formula1>
          <x14:formula2>
            <xm:f>0</xm:f>
          </x14:formula2>
          <xm:sqref>E2:E500</xm:sqref>
        </x14:dataValidation>
        <x14:dataValidation type="list" allowBlank="1" xr:uid="{00000000-0002-0000-0100-000001000000}">
          <x14:formula1>
            <xm:f>Ref_Pilihan!$C$2:$C$20</xm:f>
          </x14:formula1>
          <x14:formula2>
            <xm:f>0</xm:f>
          </x14:formula2>
          <xm:sqref>F2:F500</xm:sqref>
        </x14:dataValidation>
        <x14:dataValidation type="list" allowBlank="1" xr:uid="{00000000-0002-0000-0100-000002000000}">
          <x14:formula1>
            <xm:f>Ref_Pilihan!$D$2:$D$20</xm:f>
          </x14:formula1>
          <x14:formula2>
            <xm:f>0</xm:f>
          </x14:formula2>
          <xm:sqref>J2:J500</xm:sqref>
        </x14:dataValidation>
        <x14:dataValidation type="list" allowBlank="1" xr:uid="{00000000-0002-0000-0100-000003000000}">
          <x14:formula1>
            <xm:f>Ref_Pilihan!$A$2:$A$20</xm:f>
          </x14:formula1>
          <x14:formula2>
            <xm:f>0</xm:f>
          </x14:formula2>
          <xm:sqref>L2:L500</xm:sqref>
        </x14:dataValidation>
        <x14:dataValidation type="list" allowBlank="1" xr:uid="{00000000-0002-0000-0100-000004000000}">
          <x14:formula1>
            <xm:f>Ref_Pilihan!$E$2:$E$20</xm:f>
          </x14:formula1>
          <x14:formula2>
            <xm:f>0</xm:f>
          </x14:formula2>
          <xm:sqref>M2:M500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5" customWidth="1"/>
    <col min="2" max="2" width="14" customWidth="1"/>
    <col min="3" max="3" width="18" customWidth="1"/>
    <col min="4" max="4" width="16" customWidth="1"/>
    <col min="5" max="5" width="15" customWidth="1"/>
    <col min="6" max="6" width="18" customWidth="1"/>
    <col min="7" max="7" width="12" customWidth="1"/>
    <col min="8" max="8" width="8" customWidth="1"/>
    <col min="9" max="9" width="16" customWidth="1"/>
    <col min="10" max="10" width="12" customWidth="1"/>
    <col min="11" max="11" width="16" customWidth="1"/>
    <col min="12" max="12" width="14" customWidth="1"/>
    <col min="13" max="13" width="45" customWidth="1"/>
  </cols>
  <sheetData>
    <row r="1" spans="1:13" ht="26.25" x14ac:dyDescent="0.45">
      <c r="A1" s="9" t="s">
        <v>56</v>
      </c>
      <c r="B1" s="9" t="s">
        <v>119</v>
      </c>
      <c r="C1" s="9" t="s">
        <v>58</v>
      </c>
      <c r="D1" s="9" t="s">
        <v>59</v>
      </c>
      <c r="E1" s="9" t="s">
        <v>61</v>
      </c>
      <c r="F1" s="9" t="s">
        <v>62</v>
      </c>
      <c r="G1" s="9" t="s">
        <v>63</v>
      </c>
      <c r="H1" s="9" t="s">
        <v>64</v>
      </c>
      <c r="I1" s="9" t="s">
        <v>120</v>
      </c>
      <c r="J1" s="9" t="s">
        <v>121</v>
      </c>
      <c r="K1" s="9" t="s">
        <v>122</v>
      </c>
      <c r="L1" s="9" t="s">
        <v>123</v>
      </c>
      <c r="M1" s="9" t="s">
        <v>124</v>
      </c>
    </row>
    <row r="2" spans="1:13" x14ac:dyDescent="0.45">
      <c r="A2" s="10">
        <v>1</v>
      </c>
      <c r="B2" s="11" t="s">
        <v>125</v>
      </c>
      <c r="C2" s="10" t="s">
        <v>126</v>
      </c>
      <c r="D2" s="11" t="s">
        <v>127</v>
      </c>
      <c r="E2" s="10" t="s">
        <v>76</v>
      </c>
      <c r="F2" s="10" t="s">
        <v>77</v>
      </c>
      <c r="G2" s="10" t="s">
        <v>78</v>
      </c>
      <c r="H2" s="12">
        <v>150</v>
      </c>
      <c r="I2" s="12">
        <v>750000000</v>
      </c>
      <c r="J2" s="11" t="s">
        <v>128</v>
      </c>
      <c r="K2" s="11" t="s">
        <v>129</v>
      </c>
      <c r="L2" s="10" t="s">
        <v>130</v>
      </c>
      <c r="M2" s="10" t="s">
        <v>131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Ref_Pilihan!$C$2:$C$20</xm:f>
          </x14:formula1>
          <x14:formula2>
            <xm:f>0</xm:f>
          </x14:formula2>
          <xm:sqref>E2:E500</xm:sqref>
        </x14:dataValidation>
        <x14:dataValidation type="list" allowBlank="1" xr:uid="{00000000-0002-0000-0200-000001000000}">
          <x14:formula1>
            <xm:f>Ref_Pilihan!$H$2:$H$20</xm:f>
          </x14:formula1>
          <x14:formula2>
            <xm:f>0</xm:f>
          </x14:formula2>
          <xm:sqref>L2:L500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5" customWidth="1"/>
    <col min="2" max="2" width="14" customWidth="1"/>
    <col min="3" max="3" width="18" customWidth="1"/>
    <col min="4" max="4" width="16" customWidth="1"/>
    <col min="5" max="5" width="18" customWidth="1"/>
    <col min="6" max="7" width="15" customWidth="1"/>
    <col min="8" max="8" width="12" customWidth="1"/>
    <col min="9" max="9" width="30" customWidth="1"/>
    <col min="10" max="10" width="40" customWidth="1"/>
  </cols>
  <sheetData>
    <row r="1" spans="1:10" x14ac:dyDescent="0.45">
      <c r="A1" s="9" t="s">
        <v>56</v>
      </c>
      <c r="B1" s="9" t="s">
        <v>132</v>
      </c>
      <c r="C1" s="9" t="s">
        <v>133</v>
      </c>
      <c r="D1" s="9" t="s">
        <v>59</v>
      </c>
      <c r="E1" s="9" t="s">
        <v>134</v>
      </c>
      <c r="F1" s="9" t="s">
        <v>61</v>
      </c>
      <c r="G1" s="9" t="s">
        <v>135</v>
      </c>
      <c r="H1" s="9" t="s">
        <v>67</v>
      </c>
      <c r="I1" s="9" t="s">
        <v>136</v>
      </c>
      <c r="J1" s="9" t="s">
        <v>124</v>
      </c>
    </row>
    <row r="2" spans="1:10" x14ac:dyDescent="0.45">
      <c r="A2" s="10">
        <v>1</v>
      </c>
      <c r="B2" s="11" t="s">
        <v>137</v>
      </c>
      <c r="C2" s="10" t="s">
        <v>73</v>
      </c>
      <c r="D2" s="11" t="s">
        <v>74</v>
      </c>
      <c r="E2" s="10" t="s">
        <v>138</v>
      </c>
      <c r="F2" s="10" t="s">
        <v>76</v>
      </c>
      <c r="G2" s="12">
        <v>800000000</v>
      </c>
      <c r="H2" s="10" t="s">
        <v>139</v>
      </c>
      <c r="I2" s="10"/>
      <c r="J2" s="10" t="s">
        <v>131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Ref_Pilihan!$C$2:$C$20</xm:f>
          </x14:formula1>
          <x14:formula2>
            <xm:f>0</xm:f>
          </x14:formula2>
          <xm:sqref>F2:F500</xm:sqref>
        </x14:dataValidation>
        <x14:dataValidation type="list" allowBlank="1" xr:uid="{00000000-0002-0000-0300-000001000000}">
          <x14:formula1>
            <xm:f>Ref_Pilihan!$G$2:$G$20</xm:f>
          </x14:formula1>
          <x14:formula2>
            <xm:f>0</xm:f>
          </x14:formula2>
          <xm:sqref>H2:H500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5" customWidth="1"/>
    <col min="2" max="2" width="14" customWidth="1"/>
    <col min="3" max="3" width="12" customWidth="1"/>
    <col min="4" max="4" width="16" customWidth="1"/>
    <col min="5" max="5" width="30" customWidth="1"/>
    <col min="6" max="6" width="45" customWidth="1"/>
    <col min="7" max="7" width="20" customWidth="1"/>
    <col min="8" max="8" width="12" customWidth="1"/>
  </cols>
  <sheetData>
    <row r="1" spans="1:8" x14ac:dyDescent="0.45">
      <c r="A1" s="9" t="s">
        <v>56</v>
      </c>
      <c r="B1" s="9" t="s">
        <v>132</v>
      </c>
      <c r="C1" s="9" t="s">
        <v>140</v>
      </c>
      <c r="D1" s="9" t="s">
        <v>141</v>
      </c>
      <c r="E1" s="9" t="s">
        <v>142</v>
      </c>
      <c r="F1" s="9" t="s">
        <v>143</v>
      </c>
      <c r="G1" s="9" t="s">
        <v>144</v>
      </c>
      <c r="H1" s="9" t="s">
        <v>67</v>
      </c>
    </row>
    <row r="2" spans="1:8" x14ac:dyDescent="0.45">
      <c r="A2" s="10">
        <v>1</v>
      </c>
      <c r="B2" s="11" t="s">
        <v>113</v>
      </c>
      <c r="C2" s="10" t="s">
        <v>85</v>
      </c>
      <c r="D2" s="10" t="s">
        <v>145</v>
      </c>
      <c r="E2" s="10" t="s">
        <v>146</v>
      </c>
      <c r="F2" s="10" t="s">
        <v>147</v>
      </c>
      <c r="G2" s="10" t="s">
        <v>148</v>
      </c>
      <c r="H2" s="10" t="s">
        <v>149</v>
      </c>
    </row>
    <row r="3" spans="1:8" x14ac:dyDescent="0.45">
      <c r="A3" s="15">
        <v>2</v>
      </c>
      <c r="B3" s="16" t="s">
        <v>150</v>
      </c>
      <c r="C3" s="15" t="s">
        <v>85</v>
      </c>
      <c r="D3" s="15" t="s">
        <v>151</v>
      </c>
      <c r="E3" s="15" t="s">
        <v>152</v>
      </c>
      <c r="F3" s="15" t="s">
        <v>153</v>
      </c>
      <c r="G3" s="15" t="s">
        <v>154</v>
      </c>
      <c r="H3" s="15" t="s">
        <v>149</v>
      </c>
    </row>
    <row r="4" spans="1:8" x14ac:dyDescent="0.45">
      <c r="A4" s="10">
        <v>3</v>
      </c>
      <c r="B4" s="11" t="s">
        <v>137</v>
      </c>
      <c r="C4" s="10" t="s">
        <v>155</v>
      </c>
      <c r="D4" s="10" t="s">
        <v>156</v>
      </c>
      <c r="E4" s="10" t="s">
        <v>157</v>
      </c>
      <c r="F4" s="10" t="s">
        <v>158</v>
      </c>
      <c r="G4" s="10" t="s">
        <v>159</v>
      </c>
      <c r="H4" s="10" t="s">
        <v>160</v>
      </c>
    </row>
    <row r="5" spans="1:8" x14ac:dyDescent="0.45">
      <c r="A5" s="15">
        <v>4</v>
      </c>
      <c r="B5" s="16" t="s">
        <v>91</v>
      </c>
      <c r="C5" s="15" t="s">
        <v>85</v>
      </c>
      <c r="D5" s="15" t="s">
        <v>161</v>
      </c>
      <c r="E5" s="15" t="s">
        <v>162</v>
      </c>
      <c r="F5" s="15" t="s">
        <v>163</v>
      </c>
      <c r="G5" s="15" t="s">
        <v>164</v>
      </c>
      <c r="H5" s="15" t="s">
        <v>149</v>
      </c>
    </row>
    <row r="6" spans="1:8" x14ac:dyDescent="0.45">
      <c r="A6" s="10">
        <v>5</v>
      </c>
      <c r="B6" s="11" t="s">
        <v>101</v>
      </c>
      <c r="C6" s="10" t="s">
        <v>95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160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Ref_Pilihan!$I$2:$I$20</xm:f>
          </x14:formula1>
          <x14:formula2>
            <xm:f>0</xm:f>
          </x14:formula2>
          <xm:sqref>C2:C500</xm:sqref>
        </x14:dataValidation>
        <x14:dataValidation type="list" allowBlank="1" xr:uid="{00000000-0002-0000-0400-000001000000}">
          <x14:formula1>
            <xm:f>Ref_Pilihan!$F$2:$F$20</xm:f>
          </x14:formula1>
          <x14:formula2>
            <xm:f>0</xm:f>
          </x14:formula2>
          <xm:sqref>H2:H500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20" customWidth="1"/>
    <col min="2" max="2" width="12" customWidth="1"/>
    <col min="3" max="3" width="10" customWidth="1"/>
    <col min="4" max="4" width="14" customWidth="1"/>
    <col min="5" max="5" width="8" customWidth="1"/>
    <col min="6" max="6" width="16" customWidth="1"/>
    <col min="7" max="7" width="55" customWidth="1"/>
    <col min="8" max="8" width="35" customWidth="1"/>
  </cols>
  <sheetData>
    <row r="1" spans="1:8" x14ac:dyDescent="0.45">
      <c r="A1" s="9" t="s">
        <v>169</v>
      </c>
      <c r="B1" s="9" t="s">
        <v>61</v>
      </c>
      <c r="C1" s="9" t="s">
        <v>65</v>
      </c>
      <c r="D1" s="9" t="s">
        <v>170</v>
      </c>
      <c r="E1" s="9" t="s">
        <v>171</v>
      </c>
      <c r="F1" s="9" t="s">
        <v>172</v>
      </c>
      <c r="G1" s="9" t="s">
        <v>173</v>
      </c>
      <c r="H1" s="9" t="s">
        <v>174</v>
      </c>
    </row>
    <row r="2" spans="1:8" ht="25.5" x14ac:dyDescent="0.45">
      <c r="A2" s="10" t="s">
        <v>175</v>
      </c>
      <c r="B2" s="10" t="s">
        <v>176</v>
      </c>
      <c r="C2" s="10" t="s">
        <v>177</v>
      </c>
      <c r="D2" s="12">
        <v>50000</v>
      </c>
      <c r="E2" s="10" t="s">
        <v>178</v>
      </c>
      <c r="F2" s="10" t="s">
        <v>179</v>
      </c>
      <c r="G2" s="14" t="s">
        <v>180</v>
      </c>
      <c r="H2" s="14" t="s">
        <v>181</v>
      </c>
    </row>
    <row r="3" spans="1:8" ht="25.5" x14ac:dyDescent="0.45">
      <c r="A3" s="15" t="s">
        <v>182</v>
      </c>
      <c r="B3" s="15" t="s">
        <v>176</v>
      </c>
      <c r="C3" s="15" t="s">
        <v>116</v>
      </c>
      <c r="D3" s="17">
        <v>110000</v>
      </c>
      <c r="E3" s="15" t="s">
        <v>178</v>
      </c>
      <c r="F3" s="15" t="s">
        <v>183</v>
      </c>
      <c r="G3" s="19" t="s">
        <v>184</v>
      </c>
      <c r="H3" s="19" t="s">
        <v>185</v>
      </c>
    </row>
    <row r="4" spans="1:8" ht="25.5" x14ac:dyDescent="0.45">
      <c r="A4" s="10" t="s">
        <v>186</v>
      </c>
      <c r="B4" s="10" t="s">
        <v>176</v>
      </c>
      <c r="C4" s="10" t="s">
        <v>98</v>
      </c>
      <c r="D4" s="12">
        <v>200000</v>
      </c>
      <c r="E4" s="10" t="s">
        <v>178</v>
      </c>
      <c r="F4" s="10" t="s">
        <v>187</v>
      </c>
      <c r="G4" s="14" t="s">
        <v>188</v>
      </c>
      <c r="H4" s="14" t="s">
        <v>189</v>
      </c>
    </row>
    <row r="5" spans="1:8" x14ac:dyDescent="0.45">
      <c r="A5" s="15" t="s">
        <v>190</v>
      </c>
      <c r="B5" s="15" t="s">
        <v>86</v>
      </c>
      <c r="C5" s="15" t="s">
        <v>177</v>
      </c>
      <c r="D5" s="17">
        <v>60000</v>
      </c>
      <c r="E5" s="15" t="s">
        <v>178</v>
      </c>
      <c r="F5" s="15" t="s">
        <v>179</v>
      </c>
      <c r="G5" s="19" t="s">
        <v>191</v>
      </c>
      <c r="H5" s="19" t="s">
        <v>192</v>
      </c>
    </row>
    <row r="6" spans="1:8" ht="25.5" x14ac:dyDescent="0.45">
      <c r="A6" s="10" t="s">
        <v>193</v>
      </c>
      <c r="B6" s="10" t="s">
        <v>86</v>
      </c>
      <c r="C6" s="10" t="s">
        <v>116</v>
      </c>
      <c r="D6" s="12">
        <v>120000</v>
      </c>
      <c r="E6" s="10" t="s">
        <v>178</v>
      </c>
      <c r="F6" s="10" t="s">
        <v>183</v>
      </c>
      <c r="G6" s="14" t="s">
        <v>194</v>
      </c>
      <c r="H6" s="14" t="s">
        <v>195</v>
      </c>
    </row>
    <row r="7" spans="1:8" ht="25.5" x14ac:dyDescent="0.45">
      <c r="A7" s="15" t="s">
        <v>196</v>
      </c>
      <c r="B7" s="15" t="s">
        <v>86</v>
      </c>
      <c r="C7" s="15" t="s">
        <v>98</v>
      </c>
      <c r="D7" s="17">
        <v>225000</v>
      </c>
      <c r="E7" s="15" t="s">
        <v>178</v>
      </c>
      <c r="F7" s="15" t="s">
        <v>187</v>
      </c>
      <c r="G7" s="19" t="s">
        <v>197</v>
      </c>
      <c r="H7" s="19" t="s">
        <v>198</v>
      </c>
    </row>
    <row r="8" spans="1:8" x14ac:dyDescent="0.45">
      <c r="A8" s="10" t="s">
        <v>199</v>
      </c>
      <c r="B8" s="10" t="s">
        <v>200</v>
      </c>
      <c r="C8" s="10" t="s">
        <v>177</v>
      </c>
      <c r="D8" s="12">
        <v>40000</v>
      </c>
      <c r="E8" s="10" t="s">
        <v>178</v>
      </c>
      <c r="F8" s="10" t="s">
        <v>179</v>
      </c>
      <c r="G8" s="14" t="s">
        <v>201</v>
      </c>
      <c r="H8" s="14" t="s">
        <v>202</v>
      </c>
    </row>
    <row r="9" spans="1:8" ht="25.5" x14ac:dyDescent="0.45">
      <c r="A9" s="15" t="s">
        <v>203</v>
      </c>
      <c r="B9" s="15" t="s">
        <v>200</v>
      </c>
      <c r="C9" s="15" t="s">
        <v>116</v>
      </c>
      <c r="D9" s="17">
        <v>80000</v>
      </c>
      <c r="E9" s="15" t="s">
        <v>178</v>
      </c>
      <c r="F9" s="15" t="s">
        <v>183</v>
      </c>
      <c r="G9" s="19" t="s">
        <v>204</v>
      </c>
      <c r="H9" s="19" t="s">
        <v>205</v>
      </c>
    </row>
    <row r="10" spans="1:8" ht="25.5" x14ac:dyDescent="0.45">
      <c r="A10" s="10" t="s">
        <v>206</v>
      </c>
      <c r="B10" s="10" t="s">
        <v>200</v>
      </c>
      <c r="C10" s="10" t="s">
        <v>98</v>
      </c>
      <c r="D10" s="12">
        <v>150000</v>
      </c>
      <c r="E10" s="10" t="s">
        <v>178</v>
      </c>
      <c r="F10" s="10" t="s">
        <v>187</v>
      </c>
      <c r="G10" s="14" t="s">
        <v>207</v>
      </c>
      <c r="H10" s="14" t="s">
        <v>208</v>
      </c>
    </row>
    <row r="11" spans="1:8" x14ac:dyDescent="0.45">
      <c r="A11" s="15" t="s">
        <v>209</v>
      </c>
      <c r="B11" s="15" t="s">
        <v>210</v>
      </c>
      <c r="C11" s="15" t="s">
        <v>177</v>
      </c>
      <c r="D11" s="17">
        <v>50000</v>
      </c>
      <c r="E11" s="15" t="s">
        <v>178</v>
      </c>
      <c r="F11" s="15" t="s">
        <v>179</v>
      </c>
      <c r="G11" s="19" t="s">
        <v>211</v>
      </c>
      <c r="H11" s="19" t="s">
        <v>212</v>
      </c>
    </row>
    <row r="12" spans="1:8" x14ac:dyDescent="0.45">
      <c r="A12" s="10" t="s">
        <v>213</v>
      </c>
      <c r="B12" s="10" t="s">
        <v>210</v>
      </c>
      <c r="C12" s="10" t="s">
        <v>116</v>
      </c>
      <c r="D12" s="12">
        <v>100000</v>
      </c>
      <c r="E12" s="10" t="s">
        <v>178</v>
      </c>
      <c r="F12" s="10" t="s">
        <v>214</v>
      </c>
      <c r="G12" s="14" t="s">
        <v>215</v>
      </c>
      <c r="H12" s="14" t="s">
        <v>216</v>
      </c>
    </row>
    <row r="13" spans="1:8" ht="25.5" x14ac:dyDescent="0.45">
      <c r="A13" s="15" t="s">
        <v>217</v>
      </c>
      <c r="B13" s="15" t="s">
        <v>210</v>
      </c>
      <c r="C13" s="15" t="s">
        <v>98</v>
      </c>
      <c r="D13" s="17">
        <v>175000</v>
      </c>
      <c r="E13" s="15" t="s">
        <v>178</v>
      </c>
      <c r="F13" s="15" t="s">
        <v>187</v>
      </c>
      <c r="G13" s="19" t="s">
        <v>218</v>
      </c>
      <c r="H13" s="19" t="s">
        <v>219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34" customWidth="1"/>
    <col min="2" max="2" width="12" customWidth="1"/>
    <col min="3" max="3" width="28" customWidth="1"/>
    <col min="4" max="4" width="10" customWidth="1"/>
    <col min="5" max="6" width="13" customWidth="1"/>
    <col min="7" max="7" width="8" customWidth="1"/>
    <col min="8" max="8" width="42" customWidth="1"/>
  </cols>
  <sheetData>
    <row r="1" spans="1:8" x14ac:dyDescent="0.45">
      <c r="A1" s="9" t="s">
        <v>169</v>
      </c>
      <c r="B1" s="9" t="s">
        <v>220</v>
      </c>
      <c r="C1" s="9" t="s">
        <v>141</v>
      </c>
      <c r="D1" s="9" t="s">
        <v>65</v>
      </c>
      <c r="E1" s="9" t="s">
        <v>221</v>
      </c>
      <c r="F1" s="9" t="s">
        <v>222</v>
      </c>
      <c r="G1" s="9" t="s">
        <v>171</v>
      </c>
      <c r="H1" s="9" t="s">
        <v>124</v>
      </c>
    </row>
    <row r="2" spans="1:8" x14ac:dyDescent="0.45">
      <c r="A2" s="10" t="s">
        <v>223</v>
      </c>
      <c r="B2" s="10" t="s">
        <v>224</v>
      </c>
      <c r="C2" s="10" t="s">
        <v>225</v>
      </c>
      <c r="D2" s="10" t="s">
        <v>116</v>
      </c>
      <c r="E2" s="12">
        <v>4500000</v>
      </c>
      <c r="F2" s="12">
        <v>5500000</v>
      </c>
      <c r="G2" s="10" t="s">
        <v>178</v>
      </c>
      <c r="H2" s="14" t="s">
        <v>226</v>
      </c>
    </row>
    <row r="3" spans="1:8" x14ac:dyDescent="0.45">
      <c r="A3" s="15" t="s">
        <v>227</v>
      </c>
      <c r="B3" s="15" t="s">
        <v>224</v>
      </c>
      <c r="C3" s="15" t="s">
        <v>225</v>
      </c>
      <c r="D3" s="15" t="s">
        <v>98</v>
      </c>
      <c r="E3" s="17">
        <v>6000000</v>
      </c>
      <c r="F3" s="17">
        <v>8000000</v>
      </c>
      <c r="G3" s="15" t="s">
        <v>178</v>
      </c>
      <c r="H3" s="19" t="s">
        <v>228</v>
      </c>
    </row>
    <row r="4" spans="1:8" x14ac:dyDescent="0.45">
      <c r="A4" s="10" t="s">
        <v>229</v>
      </c>
      <c r="B4" s="10" t="s">
        <v>224</v>
      </c>
      <c r="C4" s="10" t="s">
        <v>225</v>
      </c>
      <c r="D4" s="10" t="s">
        <v>230</v>
      </c>
      <c r="E4" s="12">
        <v>9000000</v>
      </c>
      <c r="F4" s="12">
        <v>15000000</v>
      </c>
      <c r="G4" s="10" t="s">
        <v>178</v>
      </c>
      <c r="H4" s="14" t="s">
        <v>231</v>
      </c>
    </row>
    <row r="5" spans="1:8" x14ac:dyDescent="0.45">
      <c r="A5" s="15" t="s">
        <v>232</v>
      </c>
      <c r="B5" s="15" t="s">
        <v>86</v>
      </c>
      <c r="C5" s="15" t="s">
        <v>233</v>
      </c>
      <c r="D5" s="15" t="s">
        <v>116</v>
      </c>
      <c r="E5" s="17">
        <v>2500000</v>
      </c>
      <c r="F5" s="17">
        <v>4500000</v>
      </c>
      <c r="G5" s="15" t="s">
        <v>178</v>
      </c>
      <c r="H5" s="19" t="s">
        <v>234</v>
      </c>
    </row>
    <row r="6" spans="1:8" ht="25.5" x14ac:dyDescent="0.45">
      <c r="A6" s="10" t="s">
        <v>235</v>
      </c>
      <c r="B6" s="10" t="s">
        <v>86</v>
      </c>
      <c r="C6" s="10" t="s">
        <v>233</v>
      </c>
      <c r="D6" s="10" t="s">
        <v>98</v>
      </c>
      <c r="E6" s="12">
        <v>4500000</v>
      </c>
      <c r="F6" s="12">
        <v>7500000</v>
      </c>
      <c r="G6" s="10" t="s">
        <v>178</v>
      </c>
      <c r="H6" s="14" t="s">
        <v>236</v>
      </c>
    </row>
    <row r="7" spans="1:8" x14ac:dyDescent="0.45">
      <c r="A7" s="15" t="s">
        <v>237</v>
      </c>
      <c r="B7" s="15" t="s">
        <v>86</v>
      </c>
      <c r="C7" s="15" t="s">
        <v>233</v>
      </c>
      <c r="D7" s="15" t="s">
        <v>230</v>
      </c>
      <c r="E7" s="17">
        <v>7500000</v>
      </c>
      <c r="F7" s="17">
        <v>12000000</v>
      </c>
      <c r="G7" s="15" t="s">
        <v>178</v>
      </c>
      <c r="H7" s="19" t="s">
        <v>238</v>
      </c>
    </row>
    <row r="8" spans="1:8" x14ac:dyDescent="0.45">
      <c r="A8" s="10" t="s">
        <v>239</v>
      </c>
      <c r="B8" s="10" t="s">
        <v>86</v>
      </c>
      <c r="C8" s="10" t="s">
        <v>240</v>
      </c>
      <c r="D8" s="10" t="s">
        <v>116</v>
      </c>
      <c r="E8" s="12">
        <v>3000000</v>
      </c>
      <c r="F8" s="12">
        <v>5000000</v>
      </c>
      <c r="G8" s="10" t="s">
        <v>178</v>
      </c>
      <c r="H8" s="14" t="s">
        <v>241</v>
      </c>
    </row>
    <row r="9" spans="1:8" x14ac:dyDescent="0.45">
      <c r="A9" s="15" t="s">
        <v>242</v>
      </c>
      <c r="B9" s="15" t="s">
        <v>86</v>
      </c>
      <c r="C9" s="15" t="s">
        <v>240</v>
      </c>
      <c r="D9" s="15" t="s">
        <v>98</v>
      </c>
      <c r="E9" s="17">
        <v>5000000</v>
      </c>
      <c r="F9" s="17">
        <v>10000000</v>
      </c>
      <c r="G9" s="15" t="s">
        <v>178</v>
      </c>
      <c r="H9" s="19" t="s">
        <v>243</v>
      </c>
    </row>
    <row r="10" spans="1:8" x14ac:dyDescent="0.45">
      <c r="A10" s="10" t="s">
        <v>244</v>
      </c>
      <c r="B10" s="10" t="s">
        <v>86</v>
      </c>
      <c r="C10" s="10" t="s">
        <v>240</v>
      </c>
      <c r="D10" s="10" t="s">
        <v>230</v>
      </c>
      <c r="E10" s="12">
        <v>10000000</v>
      </c>
      <c r="F10" s="12">
        <v>20000000</v>
      </c>
      <c r="G10" s="10" t="s">
        <v>178</v>
      </c>
      <c r="H10" s="14" t="s">
        <v>245</v>
      </c>
    </row>
    <row r="11" spans="1:8" x14ac:dyDescent="0.45">
      <c r="A11" s="15" t="s">
        <v>246</v>
      </c>
      <c r="B11" s="15" t="s">
        <v>247</v>
      </c>
      <c r="C11" s="15" t="s">
        <v>248</v>
      </c>
      <c r="D11" s="15" t="s">
        <v>116</v>
      </c>
      <c r="E11" s="17">
        <v>4000000</v>
      </c>
      <c r="F11" s="17">
        <v>8000000</v>
      </c>
      <c r="G11" s="15" t="s">
        <v>249</v>
      </c>
      <c r="H11" s="19" t="s">
        <v>250</v>
      </c>
    </row>
    <row r="12" spans="1:8" x14ac:dyDescent="0.45">
      <c r="A12" s="10" t="s">
        <v>251</v>
      </c>
      <c r="B12" s="10" t="s">
        <v>247</v>
      </c>
      <c r="C12" s="10" t="s">
        <v>248</v>
      </c>
      <c r="D12" s="10" t="s">
        <v>98</v>
      </c>
      <c r="E12" s="12">
        <v>8000000</v>
      </c>
      <c r="F12" s="12">
        <v>15000000</v>
      </c>
      <c r="G12" s="10" t="s">
        <v>249</v>
      </c>
      <c r="H12" s="14" t="s">
        <v>252</v>
      </c>
    </row>
    <row r="13" spans="1:8" x14ac:dyDescent="0.45">
      <c r="A13" s="15" t="s">
        <v>253</v>
      </c>
      <c r="B13" s="15" t="s">
        <v>247</v>
      </c>
      <c r="C13" s="15" t="s">
        <v>248</v>
      </c>
      <c r="D13" s="15" t="s">
        <v>230</v>
      </c>
      <c r="E13" s="17">
        <v>15000000</v>
      </c>
      <c r="F13" s="17">
        <v>40000000</v>
      </c>
      <c r="G13" s="15" t="s">
        <v>249</v>
      </c>
      <c r="H13" s="19" t="s">
        <v>254</v>
      </c>
    </row>
    <row r="14" spans="1:8" x14ac:dyDescent="0.45">
      <c r="A14" s="10" t="s">
        <v>255</v>
      </c>
      <c r="B14" s="10" t="s">
        <v>247</v>
      </c>
      <c r="C14" s="10" t="s">
        <v>256</v>
      </c>
      <c r="D14" s="10" t="s">
        <v>116</v>
      </c>
      <c r="E14" s="12">
        <v>3000000</v>
      </c>
      <c r="F14" s="12">
        <v>5000000</v>
      </c>
      <c r="G14" s="10" t="s">
        <v>249</v>
      </c>
      <c r="H14" s="14" t="s">
        <v>257</v>
      </c>
    </row>
    <row r="15" spans="1:8" x14ac:dyDescent="0.45">
      <c r="A15" s="15" t="s">
        <v>258</v>
      </c>
      <c r="B15" s="15" t="s">
        <v>247</v>
      </c>
      <c r="C15" s="15" t="s">
        <v>256</v>
      </c>
      <c r="D15" s="15" t="s">
        <v>98</v>
      </c>
      <c r="E15" s="17">
        <v>6000000</v>
      </c>
      <c r="F15" s="17">
        <v>10000000</v>
      </c>
      <c r="G15" s="15" t="s">
        <v>249</v>
      </c>
      <c r="H15" s="19" t="s">
        <v>259</v>
      </c>
    </row>
    <row r="16" spans="1:8" x14ac:dyDescent="0.45">
      <c r="A16" s="10" t="s">
        <v>260</v>
      </c>
      <c r="B16" s="10" t="s">
        <v>247</v>
      </c>
      <c r="C16" s="10" t="s">
        <v>256</v>
      </c>
      <c r="D16" s="10" t="s">
        <v>230</v>
      </c>
      <c r="E16" s="12">
        <v>10000000</v>
      </c>
      <c r="F16" s="12">
        <v>25000000</v>
      </c>
      <c r="G16" s="10" t="s">
        <v>249</v>
      </c>
      <c r="H16" s="14" t="s">
        <v>261</v>
      </c>
    </row>
    <row r="17" spans="1:8" ht="25.5" x14ac:dyDescent="0.45">
      <c r="A17" s="15" t="s">
        <v>262</v>
      </c>
      <c r="B17" s="15" t="s">
        <v>200</v>
      </c>
      <c r="C17" s="15" t="s">
        <v>263</v>
      </c>
      <c r="D17" s="15" t="s">
        <v>116</v>
      </c>
      <c r="E17" s="17">
        <v>350000</v>
      </c>
      <c r="F17" s="17">
        <v>750000</v>
      </c>
      <c r="G17" s="15" t="s">
        <v>178</v>
      </c>
      <c r="H17" s="19" t="s">
        <v>264</v>
      </c>
    </row>
    <row r="18" spans="1:8" x14ac:dyDescent="0.45">
      <c r="A18" s="10" t="s">
        <v>265</v>
      </c>
      <c r="B18" s="10" t="s">
        <v>200</v>
      </c>
      <c r="C18" s="10" t="s">
        <v>263</v>
      </c>
      <c r="D18" s="10" t="s">
        <v>98</v>
      </c>
      <c r="E18" s="12">
        <v>750000</v>
      </c>
      <c r="F18" s="12">
        <v>2000000</v>
      </c>
      <c r="G18" s="10" t="s">
        <v>178</v>
      </c>
      <c r="H18" s="14" t="s">
        <v>266</v>
      </c>
    </row>
    <row r="19" spans="1:8" ht="25.5" x14ac:dyDescent="0.45">
      <c r="A19" s="15" t="s">
        <v>267</v>
      </c>
      <c r="B19" s="15" t="s">
        <v>200</v>
      </c>
      <c r="C19" s="15" t="s">
        <v>263</v>
      </c>
      <c r="D19" s="15" t="s">
        <v>230</v>
      </c>
      <c r="E19" s="17">
        <v>2000000</v>
      </c>
      <c r="F19" s="17">
        <v>5000000</v>
      </c>
      <c r="G19" s="15" t="s">
        <v>178</v>
      </c>
      <c r="H19" s="19" t="s">
        <v>268</v>
      </c>
    </row>
    <row r="20" spans="1:8" x14ac:dyDescent="0.45">
      <c r="A20" s="10" t="s">
        <v>269</v>
      </c>
      <c r="B20" s="10" t="s">
        <v>200</v>
      </c>
      <c r="C20" s="10" t="s">
        <v>270</v>
      </c>
      <c r="D20" s="10" t="s">
        <v>116</v>
      </c>
      <c r="E20" s="12">
        <v>750000</v>
      </c>
      <c r="F20" s="12">
        <v>1500000</v>
      </c>
      <c r="G20" s="10" t="s">
        <v>178</v>
      </c>
      <c r="H20" s="14"/>
    </row>
    <row r="21" spans="1:8" x14ac:dyDescent="0.45">
      <c r="A21" s="15" t="s">
        <v>271</v>
      </c>
      <c r="B21" s="15" t="s">
        <v>200</v>
      </c>
      <c r="C21" s="15" t="s">
        <v>270</v>
      </c>
      <c r="D21" s="15" t="s">
        <v>98</v>
      </c>
      <c r="E21" s="17">
        <v>1500000</v>
      </c>
      <c r="F21" s="17">
        <v>3000000</v>
      </c>
      <c r="G21" s="15" t="s">
        <v>178</v>
      </c>
      <c r="H21" s="19"/>
    </row>
    <row r="22" spans="1:8" x14ac:dyDescent="0.45">
      <c r="A22" s="10" t="s">
        <v>272</v>
      </c>
      <c r="B22" s="10" t="s">
        <v>200</v>
      </c>
      <c r="C22" s="10" t="s">
        <v>270</v>
      </c>
      <c r="D22" s="10" t="s">
        <v>230</v>
      </c>
      <c r="E22" s="12">
        <v>3000000</v>
      </c>
      <c r="F22" s="12">
        <v>6000000</v>
      </c>
      <c r="G22" s="10" t="s">
        <v>178</v>
      </c>
      <c r="H22" s="14"/>
    </row>
    <row r="23" spans="1:8" x14ac:dyDescent="0.45">
      <c r="A23" s="15" t="s">
        <v>273</v>
      </c>
      <c r="B23" s="15" t="s">
        <v>200</v>
      </c>
      <c r="C23" s="15" t="s">
        <v>274</v>
      </c>
      <c r="D23" s="15" t="s">
        <v>116</v>
      </c>
      <c r="E23" s="17">
        <v>1500000</v>
      </c>
      <c r="F23" s="17">
        <v>2500000</v>
      </c>
      <c r="G23" s="15" t="s">
        <v>178</v>
      </c>
      <c r="H23" s="19" t="s">
        <v>275</v>
      </c>
    </row>
    <row r="24" spans="1:8" x14ac:dyDescent="0.45">
      <c r="A24" s="10" t="s">
        <v>276</v>
      </c>
      <c r="B24" s="10" t="s">
        <v>200</v>
      </c>
      <c r="C24" s="10" t="s">
        <v>274</v>
      </c>
      <c r="D24" s="10" t="s">
        <v>98</v>
      </c>
      <c r="E24" s="12">
        <v>2500000</v>
      </c>
      <c r="F24" s="12">
        <v>4000000</v>
      </c>
      <c r="G24" s="10" t="s">
        <v>178</v>
      </c>
      <c r="H24" s="14"/>
    </row>
    <row r="25" spans="1:8" x14ac:dyDescent="0.45">
      <c r="A25" s="15" t="s">
        <v>277</v>
      </c>
      <c r="B25" s="15" t="s">
        <v>200</v>
      </c>
      <c r="C25" s="15" t="s">
        <v>274</v>
      </c>
      <c r="D25" s="15" t="s">
        <v>230</v>
      </c>
      <c r="E25" s="17">
        <v>4000000</v>
      </c>
      <c r="F25" s="17">
        <v>8000000</v>
      </c>
      <c r="G25" s="15" t="s">
        <v>178</v>
      </c>
      <c r="H25" s="19"/>
    </row>
    <row r="26" spans="1:8" x14ac:dyDescent="0.45">
      <c r="A26" s="10" t="s">
        <v>278</v>
      </c>
      <c r="B26" s="10" t="s">
        <v>200</v>
      </c>
      <c r="C26" s="10" t="s">
        <v>279</v>
      </c>
      <c r="D26" s="10" t="s">
        <v>116</v>
      </c>
      <c r="E26" s="12">
        <v>800000</v>
      </c>
      <c r="F26" s="12">
        <v>1200000</v>
      </c>
      <c r="G26" s="10" t="s">
        <v>178</v>
      </c>
      <c r="H26" s="14"/>
    </row>
    <row r="27" spans="1:8" x14ac:dyDescent="0.45">
      <c r="A27" s="15" t="s">
        <v>280</v>
      </c>
      <c r="B27" s="15" t="s">
        <v>200</v>
      </c>
      <c r="C27" s="15" t="s">
        <v>279</v>
      </c>
      <c r="D27" s="15" t="s">
        <v>98</v>
      </c>
      <c r="E27" s="17">
        <v>1200000</v>
      </c>
      <c r="F27" s="17">
        <v>2000000</v>
      </c>
      <c r="G27" s="15" t="s">
        <v>178</v>
      </c>
      <c r="H27" s="19"/>
    </row>
    <row r="28" spans="1:8" x14ac:dyDescent="0.45">
      <c r="A28" s="10" t="s">
        <v>281</v>
      </c>
      <c r="B28" s="10" t="s">
        <v>200</v>
      </c>
      <c r="C28" s="10" t="s">
        <v>279</v>
      </c>
      <c r="D28" s="10" t="s">
        <v>230</v>
      </c>
      <c r="E28" s="12">
        <v>2000000</v>
      </c>
      <c r="F28" s="12">
        <v>3500000</v>
      </c>
      <c r="G28" s="10" t="s">
        <v>178</v>
      </c>
      <c r="H28" s="14"/>
    </row>
    <row r="29" spans="1:8" x14ac:dyDescent="0.45">
      <c r="A29" s="15" t="s">
        <v>282</v>
      </c>
      <c r="B29" s="15" t="s">
        <v>283</v>
      </c>
      <c r="C29" s="15" t="s">
        <v>284</v>
      </c>
      <c r="D29" s="15" t="s">
        <v>116</v>
      </c>
      <c r="E29" s="17">
        <v>2000000</v>
      </c>
      <c r="F29" s="17">
        <v>4000000</v>
      </c>
      <c r="G29" s="15" t="s">
        <v>178</v>
      </c>
      <c r="H29" s="19"/>
    </row>
    <row r="30" spans="1:8" x14ac:dyDescent="0.45">
      <c r="A30" s="10" t="s">
        <v>285</v>
      </c>
      <c r="B30" s="10" t="s">
        <v>283</v>
      </c>
      <c r="C30" s="10" t="s">
        <v>284</v>
      </c>
      <c r="D30" s="10" t="s">
        <v>98</v>
      </c>
      <c r="E30" s="12">
        <v>4000000</v>
      </c>
      <c r="F30" s="12">
        <v>8000000</v>
      </c>
      <c r="G30" s="10" t="s">
        <v>178</v>
      </c>
      <c r="H30" s="14" t="s">
        <v>286</v>
      </c>
    </row>
    <row r="31" spans="1:8" x14ac:dyDescent="0.45">
      <c r="A31" s="15" t="s">
        <v>287</v>
      </c>
      <c r="B31" s="15" t="s">
        <v>283</v>
      </c>
      <c r="C31" s="15" t="s">
        <v>284</v>
      </c>
      <c r="D31" s="15" t="s">
        <v>230</v>
      </c>
      <c r="E31" s="17">
        <v>8000000</v>
      </c>
      <c r="F31" s="17">
        <v>15000000</v>
      </c>
      <c r="G31" s="15" t="s">
        <v>178</v>
      </c>
      <c r="H31" s="19" t="s">
        <v>288</v>
      </c>
    </row>
    <row r="32" spans="1:8" x14ac:dyDescent="0.45">
      <c r="A32" s="10" t="s">
        <v>289</v>
      </c>
      <c r="B32" s="10" t="s">
        <v>283</v>
      </c>
      <c r="C32" s="10" t="s">
        <v>290</v>
      </c>
      <c r="D32" s="10" t="s">
        <v>116</v>
      </c>
      <c r="E32" s="12">
        <v>5000000</v>
      </c>
      <c r="F32" s="12">
        <v>8000000</v>
      </c>
      <c r="G32" s="10" t="s">
        <v>178</v>
      </c>
      <c r="H32" s="14"/>
    </row>
    <row r="33" spans="1:8" x14ac:dyDescent="0.45">
      <c r="A33" s="15" t="s">
        <v>291</v>
      </c>
      <c r="B33" s="15" t="s">
        <v>283</v>
      </c>
      <c r="C33" s="15" t="s">
        <v>290</v>
      </c>
      <c r="D33" s="15" t="s">
        <v>98</v>
      </c>
      <c r="E33" s="17">
        <v>8000000</v>
      </c>
      <c r="F33" s="17">
        <v>15000000</v>
      </c>
      <c r="G33" s="15" t="s">
        <v>178</v>
      </c>
      <c r="H33" s="19"/>
    </row>
    <row r="34" spans="1:8" x14ac:dyDescent="0.45">
      <c r="A34" s="10" t="s">
        <v>292</v>
      </c>
      <c r="B34" s="10" t="s">
        <v>283</v>
      </c>
      <c r="C34" s="10" t="s">
        <v>290</v>
      </c>
      <c r="D34" s="10" t="s">
        <v>230</v>
      </c>
      <c r="E34" s="12">
        <v>15000000</v>
      </c>
      <c r="F34" s="12">
        <v>25000000</v>
      </c>
      <c r="G34" s="10" t="s">
        <v>178</v>
      </c>
      <c r="H34" s="14" t="s">
        <v>293</v>
      </c>
    </row>
    <row r="35" spans="1:8" x14ac:dyDescent="0.45">
      <c r="A35" s="15" t="s">
        <v>294</v>
      </c>
      <c r="B35" s="15" t="s">
        <v>295</v>
      </c>
      <c r="C35" s="15" t="s">
        <v>296</v>
      </c>
      <c r="D35" s="15" t="s">
        <v>297</v>
      </c>
      <c r="E35" s="17">
        <v>500000</v>
      </c>
      <c r="F35" s="17">
        <v>1000000</v>
      </c>
      <c r="G35" s="15" t="s">
        <v>298</v>
      </c>
      <c r="H35" s="19" t="s">
        <v>299</v>
      </c>
    </row>
    <row r="36" spans="1:8" x14ac:dyDescent="0.45">
      <c r="A36" s="10" t="s">
        <v>300</v>
      </c>
      <c r="B36" s="10" t="s">
        <v>295</v>
      </c>
      <c r="C36" s="10" t="s">
        <v>296</v>
      </c>
      <c r="D36" s="10" t="s">
        <v>98</v>
      </c>
      <c r="E36" s="12">
        <v>1000000</v>
      </c>
      <c r="F36" s="12">
        <v>3000000</v>
      </c>
      <c r="G36" s="10" t="s">
        <v>298</v>
      </c>
      <c r="H36" s="14" t="s">
        <v>301</v>
      </c>
    </row>
    <row r="37" spans="1:8" x14ac:dyDescent="0.45">
      <c r="A37" s="15" t="s">
        <v>302</v>
      </c>
      <c r="B37" s="15" t="s">
        <v>295</v>
      </c>
      <c r="C37" s="15" t="s">
        <v>303</v>
      </c>
      <c r="D37" s="15" t="s">
        <v>297</v>
      </c>
      <c r="E37" s="17">
        <v>3000000</v>
      </c>
      <c r="F37" s="17">
        <v>8000000</v>
      </c>
      <c r="G37" s="15" t="s">
        <v>298</v>
      </c>
      <c r="H37" s="19" t="s">
        <v>304</v>
      </c>
    </row>
    <row r="38" spans="1:8" x14ac:dyDescent="0.45">
      <c r="A38" s="10" t="s">
        <v>305</v>
      </c>
      <c r="B38" s="10" t="s">
        <v>295</v>
      </c>
      <c r="C38" s="10" t="s">
        <v>303</v>
      </c>
      <c r="D38" s="10" t="s">
        <v>98</v>
      </c>
      <c r="E38" s="12">
        <v>8000000</v>
      </c>
      <c r="F38" s="12">
        <v>15000000</v>
      </c>
      <c r="G38" s="10" t="s">
        <v>298</v>
      </c>
      <c r="H38" s="14" t="s">
        <v>306</v>
      </c>
    </row>
    <row r="39" spans="1:8" x14ac:dyDescent="0.45">
      <c r="A39" s="15" t="s">
        <v>307</v>
      </c>
      <c r="B39" s="15" t="s">
        <v>295</v>
      </c>
      <c r="C39" s="15" t="s">
        <v>308</v>
      </c>
      <c r="D39" s="15" t="s">
        <v>309</v>
      </c>
      <c r="E39" s="17">
        <v>0</v>
      </c>
      <c r="F39" s="17">
        <v>0</v>
      </c>
      <c r="G39" s="15" t="s">
        <v>298</v>
      </c>
      <c r="H39" s="19" t="s">
        <v>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28" customWidth="1"/>
    <col min="2" max="2" width="20" customWidth="1"/>
    <col min="3" max="3" width="14" customWidth="1"/>
    <col min="4" max="5" width="16" customWidth="1"/>
    <col min="6" max="6" width="42" customWidth="1"/>
    <col min="7" max="7" width="16" customWidth="1"/>
  </cols>
  <sheetData>
    <row r="1" spans="1:7" ht="26.25" x14ac:dyDescent="0.45">
      <c r="A1" s="9" t="s">
        <v>169</v>
      </c>
      <c r="B1" s="9" t="s">
        <v>311</v>
      </c>
      <c r="C1" s="9" t="s">
        <v>312</v>
      </c>
      <c r="D1" s="9" t="s">
        <v>313</v>
      </c>
      <c r="E1" s="9" t="s">
        <v>314</v>
      </c>
      <c r="F1" s="9" t="s">
        <v>315</v>
      </c>
      <c r="G1" s="9" t="s">
        <v>316</v>
      </c>
    </row>
    <row r="2" spans="1:7" x14ac:dyDescent="0.45">
      <c r="A2" s="10" t="s">
        <v>317</v>
      </c>
      <c r="B2" s="10" t="s">
        <v>77</v>
      </c>
      <c r="C2" s="10" t="s">
        <v>177</v>
      </c>
      <c r="D2" s="12">
        <v>3000000</v>
      </c>
      <c r="E2" s="12">
        <v>4000000</v>
      </c>
      <c r="F2" s="14" t="s">
        <v>318</v>
      </c>
      <c r="G2" s="10" t="s">
        <v>319</v>
      </c>
    </row>
    <row r="3" spans="1:7" x14ac:dyDescent="0.45">
      <c r="A3" s="15" t="s">
        <v>320</v>
      </c>
      <c r="B3" s="15" t="s">
        <v>77</v>
      </c>
      <c r="C3" s="15" t="s">
        <v>116</v>
      </c>
      <c r="D3" s="17">
        <v>3500000</v>
      </c>
      <c r="E3" s="17">
        <v>4500000</v>
      </c>
      <c r="F3" s="19" t="s">
        <v>321</v>
      </c>
      <c r="G3" s="15" t="s">
        <v>322</v>
      </c>
    </row>
    <row r="4" spans="1:7" x14ac:dyDescent="0.45">
      <c r="A4" s="10" t="s">
        <v>323</v>
      </c>
      <c r="B4" s="10" t="s">
        <v>77</v>
      </c>
      <c r="C4" s="10" t="s">
        <v>324</v>
      </c>
      <c r="D4" s="12">
        <v>4500000</v>
      </c>
      <c r="E4" s="12">
        <v>5500000</v>
      </c>
      <c r="F4" s="14" t="s">
        <v>325</v>
      </c>
      <c r="G4" s="10" t="s">
        <v>326</v>
      </c>
    </row>
    <row r="5" spans="1:7" x14ac:dyDescent="0.45">
      <c r="A5" s="15" t="s">
        <v>327</v>
      </c>
      <c r="B5" s="15" t="s">
        <v>77</v>
      </c>
      <c r="C5" s="15" t="s">
        <v>328</v>
      </c>
      <c r="D5" s="17">
        <v>5500000</v>
      </c>
      <c r="E5" s="17">
        <v>7500000</v>
      </c>
      <c r="F5" s="19" t="s">
        <v>329</v>
      </c>
      <c r="G5" s="15" t="s">
        <v>309</v>
      </c>
    </row>
    <row r="6" spans="1:7" x14ac:dyDescent="0.45">
      <c r="A6" s="10" t="s">
        <v>330</v>
      </c>
      <c r="B6" s="10" t="s">
        <v>77</v>
      </c>
      <c r="C6" s="10" t="s">
        <v>230</v>
      </c>
      <c r="D6" s="12">
        <v>7500000</v>
      </c>
      <c r="E6" s="12">
        <v>12000000</v>
      </c>
      <c r="F6" s="14" t="s">
        <v>331</v>
      </c>
      <c r="G6" s="10" t="s">
        <v>309</v>
      </c>
    </row>
    <row r="7" spans="1:7" x14ac:dyDescent="0.45">
      <c r="A7" s="15" t="s">
        <v>332</v>
      </c>
      <c r="B7" s="15" t="s">
        <v>333</v>
      </c>
      <c r="C7" s="15" t="s">
        <v>116</v>
      </c>
      <c r="D7" s="17">
        <v>3500000</v>
      </c>
      <c r="E7" s="17">
        <v>5000000</v>
      </c>
      <c r="F7" s="19" t="s">
        <v>334</v>
      </c>
      <c r="G7" s="15" t="s">
        <v>335</v>
      </c>
    </row>
    <row r="8" spans="1:7" x14ac:dyDescent="0.45">
      <c r="A8" s="10" t="s">
        <v>336</v>
      </c>
      <c r="B8" s="10" t="s">
        <v>333</v>
      </c>
      <c r="C8" s="10" t="s">
        <v>98</v>
      </c>
      <c r="D8" s="12">
        <v>5000000</v>
      </c>
      <c r="E8" s="12">
        <v>7000000</v>
      </c>
      <c r="F8" s="14" t="s">
        <v>337</v>
      </c>
      <c r="G8" s="10" t="s">
        <v>338</v>
      </c>
    </row>
    <row r="9" spans="1:7" x14ac:dyDescent="0.45">
      <c r="A9" s="15" t="s">
        <v>339</v>
      </c>
      <c r="B9" s="15" t="s">
        <v>340</v>
      </c>
      <c r="C9" s="15" t="s">
        <v>116</v>
      </c>
      <c r="D9" s="17">
        <v>4000000</v>
      </c>
      <c r="E9" s="17">
        <v>6000000</v>
      </c>
      <c r="F9" s="19" t="s">
        <v>341</v>
      </c>
      <c r="G9" s="15" t="s">
        <v>342</v>
      </c>
    </row>
    <row r="10" spans="1:7" x14ac:dyDescent="0.45">
      <c r="A10" s="10" t="s">
        <v>343</v>
      </c>
      <c r="B10" s="10" t="s">
        <v>340</v>
      </c>
      <c r="C10" s="10" t="s">
        <v>98</v>
      </c>
      <c r="D10" s="12">
        <v>7000000</v>
      </c>
      <c r="E10" s="12">
        <v>10000000</v>
      </c>
      <c r="F10" s="14" t="s">
        <v>344</v>
      </c>
      <c r="G10" s="10" t="s">
        <v>345</v>
      </c>
    </row>
    <row r="11" spans="1:7" x14ac:dyDescent="0.45">
      <c r="A11" s="15" t="s">
        <v>346</v>
      </c>
      <c r="B11" s="15" t="s">
        <v>347</v>
      </c>
      <c r="C11" s="15" t="s">
        <v>116</v>
      </c>
      <c r="D11" s="17">
        <v>3500000</v>
      </c>
      <c r="E11" s="17">
        <v>5000000</v>
      </c>
      <c r="F11" s="19" t="s">
        <v>348</v>
      </c>
      <c r="G11" s="15" t="s">
        <v>349</v>
      </c>
    </row>
    <row r="12" spans="1:7" x14ac:dyDescent="0.45">
      <c r="A12" s="10" t="s">
        <v>350</v>
      </c>
      <c r="B12" s="10" t="s">
        <v>347</v>
      </c>
      <c r="C12" s="10" t="s">
        <v>98</v>
      </c>
      <c r="D12" s="12">
        <v>5000000</v>
      </c>
      <c r="E12" s="12">
        <v>8000000</v>
      </c>
      <c r="F12" s="14" t="s">
        <v>351</v>
      </c>
      <c r="G12" s="10" t="s">
        <v>352</v>
      </c>
    </row>
    <row r="13" spans="1:7" x14ac:dyDescent="0.45">
      <c r="A13" s="15" t="s">
        <v>353</v>
      </c>
      <c r="B13" s="15" t="s">
        <v>354</v>
      </c>
      <c r="C13" s="15" t="s">
        <v>116</v>
      </c>
      <c r="D13" s="17">
        <v>5000000</v>
      </c>
      <c r="E13" s="17">
        <v>7000000</v>
      </c>
      <c r="F13" s="19" t="s">
        <v>355</v>
      </c>
      <c r="G13" s="15"/>
    </row>
    <row r="14" spans="1:7" x14ac:dyDescent="0.45">
      <c r="A14" s="10" t="s">
        <v>356</v>
      </c>
      <c r="B14" s="10" t="s">
        <v>354</v>
      </c>
      <c r="C14" s="10" t="s">
        <v>98</v>
      </c>
      <c r="D14" s="12">
        <v>8000000</v>
      </c>
      <c r="E14" s="12">
        <v>12000000</v>
      </c>
      <c r="F14" s="14" t="s">
        <v>357</v>
      </c>
      <c r="G14" s="10"/>
    </row>
    <row r="15" spans="1:7" x14ac:dyDescent="0.45">
      <c r="A15" s="15" t="s">
        <v>358</v>
      </c>
      <c r="B15" s="15" t="s">
        <v>359</v>
      </c>
      <c r="C15" s="15" t="s">
        <v>360</v>
      </c>
      <c r="D15" s="17">
        <v>1500000</v>
      </c>
      <c r="E15" s="17">
        <v>3000000</v>
      </c>
      <c r="F15" s="19" t="s">
        <v>361</v>
      </c>
      <c r="G15" s="15" t="s">
        <v>362</v>
      </c>
    </row>
    <row r="16" spans="1:7" x14ac:dyDescent="0.45">
      <c r="A16" s="10" t="s">
        <v>363</v>
      </c>
      <c r="B16" s="10" t="s">
        <v>359</v>
      </c>
      <c r="C16" s="10" t="s">
        <v>364</v>
      </c>
      <c r="D16" s="12">
        <v>3000000</v>
      </c>
      <c r="E16" s="12">
        <v>5000000</v>
      </c>
      <c r="F16" s="14" t="s">
        <v>365</v>
      </c>
      <c r="G16" s="10" t="s">
        <v>366</v>
      </c>
    </row>
    <row r="17" spans="1:7" x14ac:dyDescent="0.45">
      <c r="A17" s="15" t="s">
        <v>367</v>
      </c>
      <c r="B17" s="15" t="s">
        <v>368</v>
      </c>
      <c r="C17" s="15" t="s">
        <v>369</v>
      </c>
      <c r="D17" s="17">
        <v>5000000</v>
      </c>
      <c r="E17" s="17">
        <v>8000000</v>
      </c>
      <c r="F17" s="19" t="s">
        <v>370</v>
      </c>
      <c r="G17" s="15" t="s">
        <v>371</v>
      </c>
    </row>
    <row r="19" spans="1:7" x14ac:dyDescent="0.45">
      <c r="A19" s="20" t="s">
        <v>372</v>
      </c>
      <c r="B19" s="21" t="s">
        <v>373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zoomScaleNormal="100" workbookViewId="0">
      <pane ySplit="1" topLeftCell="A2" activePane="bottomLeft" state="frozen"/>
      <selection pane="bottomLeft" activeCell="B32" sqref="B32"/>
    </sheetView>
  </sheetViews>
  <sheetFormatPr defaultColWidth="8.6640625" defaultRowHeight="14.25" x14ac:dyDescent="0.45"/>
  <cols>
    <col min="1" max="1" width="12" customWidth="1"/>
    <col min="2" max="2" width="40" customWidth="1"/>
    <col min="3" max="3" width="45" customWidth="1"/>
  </cols>
  <sheetData>
    <row r="1" spans="1:3" x14ac:dyDescent="0.45">
      <c r="A1" s="9" t="s">
        <v>67</v>
      </c>
      <c r="B1" s="9" t="s">
        <v>374</v>
      </c>
      <c r="C1" s="9" t="s">
        <v>375</v>
      </c>
    </row>
    <row r="2" spans="1:3" x14ac:dyDescent="0.45">
      <c r="A2" s="10" t="s">
        <v>99</v>
      </c>
      <c r="B2" s="10" t="s">
        <v>376</v>
      </c>
      <c r="C2" s="10" t="s">
        <v>377</v>
      </c>
    </row>
    <row r="3" spans="1:3" x14ac:dyDescent="0.45">
      <c r="A3" s="15" t="s">
        <v>89</v>
      </c>
      <c r="B3" s="15" t="s">
        <v>378</v>
      </c>
      <c r="C3" s="15" t="s">
        <v>379</v>
      </c>
    </row>
    <row r="4" spans="1:3" x14ac:dyDescent="0.45">
      <c r="A4" s="10" t="s">
        <v>79</v>
      </c>
      <c r="B4" s="10" t="s">
        <v>380</v>
      </c>
      <c r="C4" s="10" t="s">
        <v>381</v>
      </c>
    </row>
    <row r="5" spans="1:3" x14ac:dyDescent="0.45">
      <c r="A5" s="15" t="s">
        <v>382</v>
      </c>
      <c r="B5" s="15" t="s">
        <v>383</v>
      </c>
      <c r="C5" s="15" t="s">
        <v>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5" customWidth="1"/>
    <col min="2" max="5" width="12" customWidth="1"/>
    <col min="6" max="6" width="17" customWidth="1"/>
    <col min="7" max="7" width="19" customWidth="1"/>
    <col min="8" max="8" width="17" customWidth="1"/>
    <col min="9" max="9" width="12" customWidth="1"/>
    <col min="10" max="10" width="15" customWidth="1"/>
  </cols>
  <sheetData>
    <row r="1" spans="1:10" x14ac:dyDescent="0.45">
      <c r="A1" s="22" t="s">
        <v>385</v>
      </c>
      <c r="B1" s="22" t="s">
        <v>60</v>
      </c>
      <c r="C1" s="22" t="s">
        <v>61</v>
      </c>
      <c r="D1" s="22" t="s">
        <v>65</v>
      </c>
      <c r="E1" s="22" t="s">
        <v>68</v>
      </c>
      <c r="F1" s="22" t="s">
        <v>386</v>
      </c>
      <c r="G1" s="22" t="s">
        <v>387</v>
      </c>
      <c r="H1" s="22" t="s">
        <v>123</v>
      </c>
      <c r="I1" s="22" t="s">
        <v>140</v>
      </c>
      <c r="J1" s="22" t="s">
        <v>388</v>
      </c>
    </row>
    <row r="2" spans="1:10" x14ac:dyDescent="0.45">
      <c r="A2" s="23" t="s">
        <v>99</v>
      </c>
      <c r="B2" s="23" t="s">
        <v>75</v>
      </c>
      <c r="C2" s="23" t="s">
        <v>176</v>
      </c>
      <c r="D2" s="23" t="s">
        <v>177</v>
      </c>
      <c r="E2" s="23" t="s">
        <v>106</v>
      </c>
      <c r="F2" s="23" t="s">
        <v>160</v>
      </c>
      <c r="G2" s="23" t="s">
        <v>139</v>
      </c>
      <c r="H2" s="23" t="s">
        <v>389</v>
      </c>
      <c r="I2" s="23" t="s">
        <v>85</v>
      </c>
      <c r="J2" s="23" t="s">
        <v>225</v>
      </c>
    </row>
    <row r="3" spans="1:10" x14ac:dyDescent="0.45">
      <c r="A3" s="23" t="s">
        <v>89</v>
      </c>
      <c r="B3" s="23" t="s">
        <v>85</v>
      </c>
      <c r="C3" s="23" t="s">
        <v>86</v>
      </c>
      <c r="D3" s="23" t="s">
        <v>116</v>
      </c>
      <c r="E3" s="23" t="s">
        <v>117</v>
      </c>
      <c r="F3" s="23" t="s">
        <v>149</v>
      </c>
      <c r="G3" s="23" t="s">
        <v>390</v>
      </c>
      <c r="H3" s="23" t="s">
        <v>130</v>
      </c>
      <c r="I3" s="23" t="s">
        <v>155</v>
      </c>
      <c r="J3" s="23" t="s">
        <v>233</v>
      </c>
    </row>
    <row r="4" spans="1:10" x14ac:dyDescent="0.45">
      <c r="A4" s="23" t="s">
        <v>79</v>
      </c>
      <c r="B4" s="23" t="s">
        <v>95</v>
      </c>
      <c r="C4" s="23" t="s">
        <v>200</v>
      </c>
      <c r="D4" s="23" t="s">
        <v>98</v>
      </c>
      <c r="E4" s="23" t="s">
        <v>90</v>
      </c>
      <c r="F4" s="23" t="s">
        <v>391</v>
      </c>
      <c r="G4" s="23" t="s">
        <v>392</v>
      </c>
      <c r="H4" s="23" t="s">
        <v>393</v>
      </c>
      <c r="I4" s="23" t="s">
        <v>95</v>
      </c>
      <c r="J4" s="23" t="s">
        <v>240</v>
      </c>
    </row>
    <row r="5" spans="1:10" x14ac:dyDescent="0.45">
      <c r="A5" s="23" t="s">
        <v>382</v>
      </c>
      <c r="B5" s="23" t="s">
        <v>155</v>
      </c>
      <c r="C5" s="23" t="s">
        <v>210</v>
      </c>
      <c r="D5" s="23" t="s">
        <v>230</v>
      </c>
      <c r="E5" s="23" t="s">
        <v>394</v>
      </c>
      <c r="F5" s="23" t="s">
        <v>395</v>
      </c>
      <c r="G5" s="23" t="s">
        <v>396</v>
      </c>
      <c r="H5" s="23" t="s">
        <v>397</v>
      </c>
      <c r="I5" s="23" t="s">
        <v>398</v>
      </c>
      <c r="J5" s="23" t="s">
        <v>263</v>
      </c>
    </row>
    <row r="6" spans="1:10" x14ac:dyDescent="0.45">
      <c r="B6" s="23" t="s">
        <v>399</v>
      </c>
      <c r="C6" s="23" t="s">
        <v>76</v>
      </c>
      <c r="E6" s="23" t="s">
        <v>400</v>
      </c>
      <c r="I6" s="23" t="s">
        <v>401</v>
      </c>
      <c r="J6" s="23" t="s">
        <v>248</v>
      </c>
    </row>
    <row r="7" spans="1:10" x14ac:dyDescent="0.45">
      <c r="B7" s="23" t="s">
        <v>402</v>
      </c>
      <c r="C7" s="23" t="s">
        <v>295</v>
      </c>
      <c r="E7" s="23" t="s">
        <v>80</v>
      </c>
      <c r="J7" s="23" t="s">
        <v>284</v>
      </c>
    </row>
    <row r="8" spans="1:10" x14ac:dyDescent="0.45">
      <c r="E8" s="23" t="s">
        <v>403</v>
      </c>
      <c r="J8" s="23" t="s">
        <v>290</v>
      </c>
    </row>
    <row r="9" spans="1:10" x14ac:dyDescent="0.45">
      <c r="E9" s="23" t="s">
        <v>404</v>
      </c>
      <c r="J9" s="23" t="s">
        <v>308</v>
      </c>
    </row>
    <row r="10" spans="1:10" x14ac:dyDescent="0.45">
      <c r="E10" s="23" t="s">
        <v>130</v>
      </c>
      <c r="J10" s="23" t="s">
        <v>296</v>
      </c>
    </row>
    <row r="11" spans="1:10" x14ac:dyDescent="0.45">
      <c r="E11" s="23" t="s">
        <v>405</v>
      </c>
      <c r="J11" s="23" t="s">
        <v>303</v>
      </c>
    </row>
    <row r="12" spans="1:10" x14ac:dyDescent="0.45">
      <c r="J12" s="23" t="s">
        <v>274</v>
      </c>
    </row>
    <row r="13" spans="1:10" x14ac:dyDescent="0.45">
      <c r="J13" s="23" t="s">
        <v>270</v>
      </c>
    </row>
    <row r="14" spans="1:10" x14ac:dyDescent="0.45">
      <c r="J14" s="23" t="s">
        <v>279</v>
      </c>
    </row>
    <row r="15" spans="1:10" x14ac:dyDescent="0.45">
      <c r="J15" s="23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7"/>
  <sheetViews>
    <sheetView showGridLines="0" zoomScaleNormal="100" workbookViewId="0">
      <selection activeCell="C11" sqref="C11"/>
    </sheetView>
  </sheetViews>
  <sheetFormatPr defaultColWidth="8.6640625" defaultRowHeight="14.25" x14ac:dyDescent="0.45"/>
  <cols>
    <col min="1" max="1" width="30" customWidth="1"/>
    <col min="2" max="2" width="24" customWidth="1"/>
    <col min="3" max="3" width="40" customWidth="1"/>
  </cols>
  <sheetData>
    <row r="1" spans="1:3" ht="17.649999999999999" x14ac:dyDescent="0.5">
      <c r="A1" s="24" t="s">
        <v>406</v>
      </c>
    </row>
    <row r="2" spans="1:3" x14ac:dyDescent="0.45">
      <c r="A2" s="21" t="s">
        <v>407</v>
      </c>
    </row>
    <row r="4" spans="1:3" ht="15.4" x14ac:dyDescent="0.45">
      <c r="A4" s="25" t="s">
        <v>408</v>
      </c>
      <c r="B4" s="26"/>
      <c r="C4" s="26"/>
    </row>
    <row r="5" spans="1:3" x14ac:dyDescent="0.45">
      <c r="A5" s="6" t="s">
        <v>409</v>
      </c>
      <c r="B5" s="27" t="s">
        <v>176</v>
      </c>
      <c r="C5" s="21" t="s">
        <v>410</v>
      </c>
    </row>
    <row r="6" spans="1:3" x14ac:dyDescent="0.45">
      <c r="A6" s="6" t="s">
        <v>411</v>
      </c>
      <c r="B6" s="27" t="s">
        <v>116</v>
      </c>
      <c r="C6" s="21" t="s">
        <v>412</v>
      </c>
    </row>
    <row r="7" spans="1:3" x14ac:dyDescent="0.45">
      <c r="A7" s="6" t="s">
        <v>413</v>
      </c>
      <c r="B7" s="27">
        <v>150</v>
      </c>
    </row>
    <row r="8" spans="1:3" x14ac:dyDescent="0.45">
      <c r="A8" s="6" t="s">
        <v>414</v>
      </c>
      <c r="B8" s="28">
        <f>IFERROR(INDEX(Ref_Jasa_Perencanaan!$D$2:$D$13,MATCH(B5&amp;"-"&amp;B6,Ref_Jasa_Perencanaan!$A$2:$A$13,0)),0)</f>
        <v>110000</v>
      </c>
      <c r="C8" s="21" t="s">
        <v>415</v>
      </c>
    </row>
    <row r="9" spans="1:3" x14ac:dyDescent="0.45">
      <c r="A9" s="6" t="s">
        <v>416</v>
      </c>
      <c r="B9" s="28">
        <f>B7*B8</f>
        <v>16500000</v>
      </c>
    </row>
    <row r="10" spans="1:3" x14ac:dyDescent="0.45">
      <c r="A10" s="6" t="s">
        <v>417</v>
      </c>
      <c r="B10" s="27">
        <v>0</v>
      </c>
    </row>
    <row r="11" spans="1:3" x14ac:dyDescent="0.45">
      <c r="A11" s="6" t="s">
        <v>418</v>
      </c>
      <c r="B11" s="29">
        <v>0.11</v>
      </c>
      <c r="C11" s="21" t="s">
        <v>419</v>
      </c>
    </row>
    <row r="12" spans="1:3" x14ac:dyDescent="0.45">
      <c r="A12" s="6" t="s">
        <v>420</v>
      </c>
      <c r="B12" s="28">
        <f>B9*B11*B10</f>
        <v>0</v>
      </c>
    </row>
    <row r="13" spans="1:3" x14ac:dyDescent="0.45">
      <c r="A13" s="30" t="s">
        <v>421</v>
      </c>
      <c r="B13" s="31">
        <f>B9+B12</f>
        <v>16500000</v>
      </c>
    </row>
    <row r="16" spans="1:3" ht="15.4" x14ac:dyDescent="0.45">
      <c r="A16" s="25" t="s">
        <v>422</v>
      </c>
      <c r="B16" s="26"/>
      <c r="C16" s="26"/>
    </row>
    <row r="17" spans="1:3" x14ac:dyDescent="0.45">
      <c r="A17" s="6" t="s">
        <v>423</v>
      </c>
      <c r="B17" s="27" t="s">
        <v>225</v>
      </c>
      <c r="C17" s="21" t="s">
        <v>424</v>
      </c>
    </row>
    <row r="18" spans="1:3" x14ac:dyDescent="0.45">
      <c r="A18" s="6" t="s">
        <v>411</v>
      </c>
      <c r="B18" s="27" t="s">
        <v>116</v>
      </c>
      <c r="C18" s="21" t="s">
        <v>425</v>
      </c>
    </row>
    <row r="19" spans="1:3" x14ac:dyDescent="0.45">
      <c r="A19" s="6" t="s">
        <v>426</v>
      </c>
      <c r="B19" s="27">
        <v>120</v>
      </c>
      <c r="C19" s="21" t="s">
        <v>427</v>
      </c>
    </row>
    <row r="20" spans="1:3" x14ac:dyDescent="0.45">
      <c r="A20" s="6" t="s">
        <v>428</v>
      </c>
      <c r="B20" s="28">
        <f>IFERROR(INDEX(Ref_Design_Build!$E$2:$E$39,MATCH(B17&amp;"-"&amp;B18,Ref_Design_Build!$A$2:$A$39,0)),0)</f>
        <v>4500000</v>
      </c>
    </row>
    <row r="21" spans="1:3" x14ac:dyDescent="0.45">
      <c r="A21" s="6" t="s">
        <v>429</v>
      </c>
      <c r="B21" s="28">
        <f>IFERROR(INDEX(Ref_Design_Build!$F$2:$F$39,MATCH(B17&amp;"-"&amp;B18,Ref_Design_Build!$A$2:$A$39,0)),0)</f>
        <v>5500000</v>
      </c>
    </row>
    <row r="22" spans="1:3" x14ac:dyDescent="0.45">
      <c r="A22" s="6" t="s">
        <v>430</v>
      </c>
      <c r="B22" s="28">
        <f>B19*B20</f>
        <v>540000000</v>
      </c>
    </row>
    <row r="23" spans="1:3" x14ac:dyDescent="0.45">
      <c r="A23" s="6" t="s">
        <v>431</v>
      </c>
      <c r="B23" s="28">
        <f>B19*B21</f>
        <v>660000000</v>
      </c>
    </row>
    <row r="24" spans="1:3" x14ac:dyDescent="0.45">
      <c r="A24" s="6" t="s">
        <v>417</v>
      </c>
      <c r="B24" s="27">
        <v>0</v>
      </c>
    </row>
    <row r="25" spans="1:3" x14ac:dyDescent="0.45">
      <c r="A25" s="6" t="s">
        <v>418</v>
      </c>
      <c r="B25" s="29">
        <v>0.11</v>
      </c>
    </row>
    <row r="26" spans="1:3" x14ac:dyDescent="0.45">
      <c r="A26" s="30" t="s">
        <v>432</v>
      </c>
      <c r="B26" s="31">
        <f>B22*(1+B25*B24)</f>
        <v>540000000</v>
      </c>
    </row>
    <row r="27" spans="1:3" x14ac:dyDescent="0.45">
      <c r="A27" s="30" t="s">
        <v>433</v>
      </c>
      <c r="B27" s="31">
        <f>B23*(1+B25*B24)</f>
        <v>660000000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Leads</vt:lpstr>
      <vt:lpstr>Clients</vt:lpstr>
      <vt:lpstr>Proposal_History</vt:lpstr>
      <vt:lpstr>Konten_Kalender</vt:lpstr>
      <vt:lpstr>Ref_Jasa_Perencanaan</vt:lpstr>
      <vt:lpstr>Ref_Design_Build</vt:lpstr>
      <vt:lpstr>Ref_RAB_Konstruksi</vt:lpstr>
      <vt:lpstr>Ref_Status_Lead</vt:lpstr>
      <vt:lpstr>Ref_Pilihan</vt:lpstr>
      <vt:lpstr>Kalkulator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Sudut Ruang Archineering</cp:lastModifiedBy>
  <cp:revision>0</cp:revision>
  <dcterms:created xsi:type="dcterms:W3CDTF">2026-06-18T10:10:53Z</dcterms:created>
  <dcterms:modified xsi:type="dcterms:W3CDTF">2026-06-18T10:17:31Z</dcterms:modified>
  <dc:language>en-US</dc:language>
</cp:coreProperties>
</file>